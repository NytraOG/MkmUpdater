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tian.nytra\OneDrive - Co-Orga GmbH\EDH\MTG_Decklisten\"/>
    </mc:Choice>
  </mc:AlternateContent>
  <xr:revisionPtr revIDLastSave="754" documentId="8_{48AA16C0-DF36-462E-8F39-CC57E023A88B}" xr6:coauthVersionLast="45" xr6:coauthVersionMax="45" xr10:uidLastSave="{2B5B1409-BDFC-46B4-9644-51F41D8305EE}"/>
  <bookViews>
    <workbookView xWindow="57480" yWindow="-10275" windowWidth="29040" windowHeight="15840" activeTab="1" xr2:uid="{72A650B9-4346-4DD7-BEAF-A4005F2E7369}"/>
  </bookViews>
  <sheets>
    <sheet name="Urza" sheetId="3" r:id="rId1"/>
    <sheet name="Tasigur" sheetId="1" r:id="rId2"/>
    <sheet name="Breya" sheetId="2" r:id="rId3"/>
    <sheet name="Yawgmoth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42" i="4" l="1"/>
  <c r="N41" i="4"/>
  <c r="L41" i="4"/>
  <c r="J41" i="4"/>
  <c r="H41" i="4"/>
  <c r="F41" i="4"/>
  <c r="D41" i="4"/>
  <c r="B41" i="4"/>
  <c r="Q39" i="4"/>
  <c r="Q38" i="4" s="1"/>
  <c r="P42" i="3"/>
  <c r="P41" i="4" l="1"/>
  <c r="P43" i="4" s="1"/>
  <c r="Q39" i="3"/>
  <c r="Q38" i="3" s="1"/>
  <c r="Q39" i="1"/>
  <c r="Q38" i="1" s="1"/>
  <c r="N41" i="3"/>
  <c r="L41" i="3"/>
  <c r="J41" i="3"/>
  <c r="H41" i="3"/>
  <c r="F41" i="3"/>
  <c r="D41" i="3"/>
  <c r="B41" i="3"/>
  <c r="P42" i="1"/>
  <c r="P41" i="3" l="1"/>
  <c r="P43" i="3" s="1"/>
  <c r="Q39" i="2"/>
  <c r="Q38" i="2" s="1"/>
  <c r="N41" i="2"/>
  <c r="L41" i="2"/>
  <c r="J41" i="2"/>
  <c r="H41" i="2"/>
  <c r="F41" i="2"/>
  <c r="D41" i="2"/>
  <c r="B41" i="2"/>
  <c r="B41" i="1"/>
  <c r="D41" i="1"/>
  <c r="F41" i="1"/>
  <c r="H41" i="1"/>
  <c r="J41" i="1"/>
  <c r="L41" i="1"/>
  <c r="N41" i="1"/>
  <c r="P41" i="1" l="1"/>
  <c r="P43" i="1" s="1"/>
  <c r="P41" i="2"/>
</calcChain>
</file>

<file path=xl/sharedStrings.xml><?xml version="1.0" encoding="utf-8"?>
<sst xmlns="http://schemas.openxmlformats.org/spreadsheetml/2006/main" count="448" uniqueCount="311">
  <si>
    <t>Planeswalker</t>
  </si>
  <si>
    <t>$</t>
  </si>
  <si>
    <t>Kodama's Reach</t>
  </si>
  <si>
    <t>Bloodstained Mire</t>
  </si>
  <si>
    <t>Windswept Heath</t>
  </si>
  <si>
    <t>Wooded Foothills</t>
  </si>
  <si>
    <t>Land</t>
  </si>
  <si>
    <t>Creature</t>
  </si>
  <si>
    <t>Sorcery</t>
  </si>
  <si>
    <t>Instant</t>
  </si>
  <si>
    <t>Enchantement</t>
  </si>
  <si>
    <t>Artifact</t>
  </si>
  <si>
    <t>Green Sun's Zenith</t>
  </si>
  <si>
    <t>Eternal Witness</t>
  </si>
  <si>
    <t>Splendid Reclamation</t>
  </si>
  <si>
    <t>Vampiric Tutor</t>
  </si>
  <si>
    <t>Wasteland</t>
  </si>
  <si>
    <t>Evolving Wilds</t>
  </si>
  <si>
    <t>Vesuva</t>
  </si>
  <si>
    <t>Blighted Woodland</t>
  </si>
  <si>
    <t>Dark Depths</t>
  </si>
  <si>
    <t>Reliquary Tower</t>
  </si>
  <si>
    <t>Overgrown Tomb</t>
  </si>
  <si>
    <t>Life from the Loam</t>
  </si>
  <si>
    <t>Krosan Grip</t>
  </si>
  <si>
    <t>Command Tower</t>
  </si>
  <si>
    <t>Demonic Tutor</t>
  </si>
  <si>
    <t>Strip Mine</t>
  </si>
  <si>
    <t>Woodland Cemetery</t>
  </si>
  <si>
    <t>Cultivate</t>
  </si>
  <si>
    <t>Exploration</t>
  </si>
  <si>
    <t>Beast Within</t>
  </si>
  <si>
    <t>Sol Ring</t>
  </si>
  <si>
    <t>Barren Moor</t>
  </si>
  <si>
    <t>Tranquil Thicket</t>
  </si>
  <si>
    <t>Constant Mists</t>
  </si>
  <si>
    <t>Dakmor Salvage</t>
  </si>
  <si>
    <t>Crop Rotation</t>
  </si>
  <si>
    <t>Glacial Chasm</t>
  </si>
  <si>
    <t>Solemn Simulacrum</t>
  </si>
  <si>
    <t>Breya, Etherium S.</t>
  </si>
  <si>
    <t>Trinket Mage</t>
  </si>
  <si>
    <t>Counterspell</t>
  </si>
  <si>
    <t>Oblivion Stone</t>
  </si>
  <si>
    <t>Emry, Lurker o. t.</t>
  </si>
  <si>
    <t>Blutkrypta</t>
  </si>
  <si>
    <t>Schatzmagier</t>
  </si>
  <si>
    <t>Inventor's Fair</t>
  </si>
  <si>
    <t>Reshape</t>
  </si>
  <si>
    <t>Mystic Monastery</t>
  </si>
  <si>
    <t>Wurmcoil Engine</t>
  </si>
  <si>
    <t>Chromatic Lantern</t>
  </si>
  <si>
    <t>Wrath of God</t>
  </si>
  <si>
    <t>Mana Confluence</t>
  </si>
  <si>
    <t>Daretti, Scrap S.</t>
  </si>
  <si>
    <t>Azorius Signet</t>
  </si>
  <si>
    <t>Dimir Signet</t>
  </si>
  <si>
    <t>Force of Will</t>
  </si>
  <si>
    <t>Mountain</t>
  </si>
  <si>
    <t>Saheeli's Directive</t>
  </si>
  <si>
    <t>Great Furnace</t>
  </si>
  <si>
    <t>Eldrazi Displacer</t>
  </si>
  <si>
    <t>Izzet Signet</t>
  </si>
  <si>
    <t>Sacred Foundry</t>
  </si>
  <si>
    <t>Thopter Foundry</t>
  </si>
  <si>
    <t>Skullclamp</t>
  </si>
  <si>
    <t>Swamp</t>
  </si>
  <si>
    <t>Nomad Outpost</t>
  </si>
  <si>
    <t>Star Compass</t>
  </si>
  <si>
    <t>Steam Vents</t>
  </si>
  <si>
    <t>Darksteel Citadel</t>
  </si>
  <si>
    <t>Talisman of Indulg.</t>
  </si>
  <si>
    <t>Silas Renn</t>
  </si>
  <si>
    <t>Walking Ballista</t>
  </si>
  <si>
    <t>Myr Battlesphere</t>
  </si>
  <si>
    <t>Ashnod's Altar</t>
  </si>
  <si>
    <t>Commander's Sph.</t>
  </si>
  <si>
    <t>Mirrodin Besieged</t>
  </si>
  <si>
    <t>Storm the Vault</t>
  </si>
  <si>
    <t>Seat of the Synode</t>
  </si>
  <si>
    <t>KCI</t>
  </si>
  <si>
    <t>Sharuum the Hege.</t>
  </si>
  <si>
    <t>Godless Shrine</t>
  </si>
  <si>
    <t>Skycloud Expanse</t>
  </si>
  <si>
    <t>Saheeli, Sublime A.</t>
  </si>
  <si>
    <t>Darksteel Forge</t>
  </si>
  <si>
    <t>Time Sieve</t>
  </si>
  <si>
    <t>Fabricate</t>
  </si>
  <si>
    <t>Sulfur falls</t>
  </si>
  <si>
    <t>Smothering Tithe</t>
  </si>
  <si>
    <t>Ancient Den</t>
  </si>
  <si>
    <t>Polluted Delta</t>
  </si>
  <si>
    <t>Island</t>
  </si>
  <si>
    <t>Flooded Strand</t>
  </si>
  <si>
    <t>Bolas's Citadel</t>
  </si>
  <si>
    <t>Lotus Petal</t>
  </si>
  <si>
    <t>Isolated Chapel</t>
  </si>
  <si>
    <t>Talisman of D.</t>
  </si>
  <si>
    <t>Fact or fiction</t>
  </si>
  <si>
    <t>Mirrorpool</t>
  </si>
  <si>
    <t>Vedalken Archmage</t>
  </si>
  <si>
    <t>Glimmervoid</t>
  </si>
  <si>
    <t>Watery Grave</t>
  </si>
  <si>
    <t>Rakdos Signet</t>
  </si>
  <si>
    <t>Vault of Whispers</t>
  </si>
  <si>
    <t>Temple o.t.f. God</t>
  </si>
  <si>
    <t>Goblin Welder</t>
  </si>
  <si>
    <t>Filigree Angel</t>
  </si>
  <si>
    <t>Badlands</t>
  </si>
  <si>
    <t>Tempel of Enligh.</t>
  </si>
  <si>
    <t>Dig Through Time</t>
  </si>
  <si>
    <t>Scrap Mastery</t>
  </si>
  <si>
    <t>Sword to Plows.</t>
  </si>
  <si>
    <t>Talisman of Progr.</t>
  </si>
  <si>
    <t>Volcanic Island</t>
  </si>
  <si>
    <t>Tezzeret, M.o.t.B.</t>
  </si>
  <si>
    <t>Plains</t>
  </si>
  <si>
    <t>Chief Engineer</t>
  </si>
  <si>
    <t>Sword of the Meek</t>
  </si>
  <si>
    <t>No. of Cards</t>
  </si>
  <si>
    <t>Mine %</t>
  </si>
  <si>
    <t>Tasigur</t>
  </si>
  <si>
    <t>Deathrite Shaman</t>
  </si>
  <si>
    <t>Forest</t>
  </si>
  <si>
    <t>Mystic Remora</t>
  </si>
  <si>
    <t>Titania</t>
  </si>
  <si>
    <t>Baleful Strix</t>
  </si>
  <si>
    <t>Pernicious Deed</t>
  </si>
  <si>
    <t>Oblivion stone</t>
  </si>
  <si>
    <t>Assassin's Trophy</t>
  </si>
  <si>
    <t>Forbidden Alchemy</t>
  </si>
  <si>
    <t>Gitrog</t>
  </si>
  <si>
    <t>Squandered Resources</t>
  </si>
  <si>
    <t>Rhystic Study</t>
  </si>
  <si>
    <t>Urborg</t>
  </si>
  <si>
    <t>Ulvenwald Hydra</t>
  </si>
  <si>
    <t>Field of the Dead</t>
  </si>
  <si>
    <t>Oracle of Mul Daya</t>
  </si>
  <si>
    <t>Cabal Coffers</t>
  </si>
  <si>
    <t>Blast Zone</t>
  </si>
  <si>
    <t>Swan Song</t>
  </si>
  <si>
    <t>Ob Nixilis</t>
  </si>
  <si>
    <t>Zephalid Kolosseum</t>
  </si>
  <si>
    <t>Crucible of Worlds</t>
  </si>
  <si>
    <t>Breeding Pool</t>
  </si>
  <si>
    <t>Consecrated Sphinx</t>
  </si>
  <si>
    <t>Hinterlandhafen</t>
  </si>
  <si>
    <t>Worldshaper</t>
  </si>
  <si>
    <t>Thespian Stage</t>
  </si>
  <si>
    <t>Torment of Hailfire</t>
  </si>
  <si>
    <t>Realms Uncharted</t>
  </si>
  <si>
    <t>Sylvan Library</t>
  </si>
  <si>
    <t>Avenger of Zendikar</t>
  </si>
  <si>
    <t>Lotus Cobra</t>
  </si>
  <si>
    <t>Underground Sea</t>
  </si>
  <si>
    <t>Farseek</t>
  </si>
  <si>
    <t>Burgeoning</t>
  </si>
  <si>
    <t>Drowned Catacomb</t>
  </si>
  <si>
    <t>Ashiok</t>
  </si>
  <si>
    <t>Lotus Field</t>
  </si>
  <si>
    <t>Wayward Swordtooth</t>
  </si>
  <si>
    <t>Damnation</t>
  </si>
  <si>
    <t>Muldrotha</t>
  </si>
  <si>
    <t>Yawgmoth's Will</t>
  </si>
  <si>
    <t>Season's Past</t>
  </si>
  <si>
    <t>Disallow</t>
  </si>
  <si>
    <t>Ramunap Excavator</t>
  </si>
  <si>
    <t>Entomb</t>
  </si>
  <si>
    <t>Exsanguinate</t>
  </si>
  <si>
    <t>Mnemonic Betrayal</t>
  </si>
  <si>
    <t>Tatyova</t>
  </si>
  <si>
    <t>Scapeshift</t>
  </si>
  <si>
    <t>Reality Shift</t>
  </si>
  <si>
    <t>Villainous wealth</t>
  </si>
  <si>
    <t>Zendikar Resurgent</t>
  </si>
  <si>
    <t>Tempt with D.</t>
  </si>
  <si>
    <t>Sakura-Tribe Elder</t>
  </si>
  <si>
    <t>Voidslime</t>
  </si>
  <si>
    <t>Urza</t>
  </si>
  <si>
    <t>Mystic Forge</t>
  </si>
  <si>
    <t>Mana Drain</t>
  </si>
  <si>
    <t>Tormod's Crypt</t>
  </si>
  <si>
    <t>Riddlesmith</t>
  </si>
  <si>
    <t>Everflowing Chalice</t>
  </si>
  <si>
    <t>Tezzeret the Seeker</t>
  </si>
  <si>
    <t>Brainstorm</t>
  </si>
  <si>
    <t>Arcum Dagsson</t>
  </si>
  <si>
    <t>Flusterstorm</t>
  </si>
  <si>
    <t>Myr Retriever</t>
  </si>
  <si>
    <t>Negate</t>
  </si>
  <si>
    <t>Urza's Power Plant</t>
  </si>
  <si>
    <t>Leyline of Anticipation</t>
  </si>
  <si>
    <t>Chrome Mox</t>
  </si>
  <si>
    <t>Thran Dynamo</t>
  </si>
  <si>
    <t>Efficient Construction</t>
  </si>
  <si>
    <t>Mana Vault</t>
  </si>
  <si>
    <t>Whir of Invention</t>
  </si>
  <si>
    <t>Torpor Orb</t>
  </si>
  <si>
    <t>Top</t>
  </si>
  <si>
    <t>Winter Orb</t>
  </si>
  <si>
    <t>Trophy Mage</t>
  </si>
  <si>
    <t>Sai</t>
  </si>
  <si>
    <t>Emergence Zone</t>
  </si>
  <si>
    <t>Fellwar Stone</t>
  </si>
  <si>
    <t>Phyrexian Metamorph</t>
  </si>
  <si>
    <t>Cyclonic Rift</t>
  </si>
  <si>
    <t>Muddle the Mixture</t>
  </si>
  <si>
    <t>Delay</t>
  </si>
  <si>
    <t>Codex Shredder</t>
  </si>
  <si>
    <t>Echo of Eons</t>
  </si>
  <si>
    <t>Urza's Tower</t>
  </si>
  <si>
    <t>LED</t>
  </si>
  <si>
    <t>Storage Matrix</t>
  </si>
  <si>
    <t>Grafdigger's Cage</t>
  </si>
  <si>
    <t>Karn, the G.</t>
  </si>
  <si>
    <t>Delif's Cone</t>
  </si>
  <si>
    <t>High Tide</t>
  </si>
  <si>
    <t>Tolaria West</t>
  </si>
  <si>
    <t>Narset's Reversal</t>
  </si>
  <si>
    <t>Static Orb</t>
  </si>
  <si>
    <t>Kuldotha Forgemaster</t>
  </si>
  <si>
    <t>Howling Mine</t>
  </si>
  <si>
    <t>Digh Through Time</t>
  </si>
  <si>
    <t>Spiegel-Manufakt</t>
  </si>
  <si>
    <t>Dark Sphere</t>
  </si>
  <si>
    <t>Recurring Insight</t>
  </si>
  <si>
    <t>Narset, Parter of Veils</t>
  </si>
  <si>
    <t>Future Sight</t>
  </si>
  <si>
    <t>Foundry of Consuls</t>
  </si>
  <si>
    <t>Back to Basics</t>
  </si>
  <si>
    <t>Genesis Chamber</t>
  </si>
  <si>
    <t>Jace, Wielder of Mysteries</t>
  </si>
  <si>
    <t>Etherium Sculptor</t>
  </si>
  <si>
    <t>Mystical Tutor</t>
  </si>
  <si>
    <t>Time Spiral</t>
  </si>
  <si>
    <t>Temporal Trespass</t>
  </si>
  <si>
    <t>Snapcaster Mage</t>
  </si>
  <si>
    <t>Battered Golem</t>
  </si>
  <si>
    <t>Urza's Mine</t>
  </si>
  <si>
    <t>Meekstone</t>
  </si>
  <si>
    <t>Isochron Scepter</t>
  </si>
  <si>
    <t>Memory Jar</t>
  </si>
  <si>
    <t>Aetherflux Reservoir</t>
  </si>
  <si>
    <t>Rogue's Passage</t>
  </si>
  <si>
    <t>Dramatic Reversal</t>
  </si>
  <si>
    <t>Yawgmoth</t>
  </si>
  <si>
    <t>Dreadhorde Invasion</t>
  </si>
  <si>
    <t>Necroskitter</t>
  </si>
  <si>
    <t>Carrier Thrall</t>
  </si>
  <si>
    <t>Tragic Slip</t>
  </si>
  <si>
    <t>Butcher of Malakir</t>
  </si>
  <si>
    <t>Sign in Blood</t>
  </si>
  <si>
    <t>Archfiend of Ifnir</t>
  </si>
  <si>
    <t>Pitiless Plunderer</t>
  </si>
  <si>
    <t>Diabolic Intent</t>
  </si>
  <si>
    <t>Fleshbag Marauder</t>
  </si>
  <si>
    <t>Black Sun's Zenith</t>
  </si>
  <si>
    <t>Rite of Belzenlok</t>
  </si>
  <si>
    <t>Cabal Stronghold</t>
  </si>
  <si>
    <t>Stitch Together</t>
  </si>
  <si>
    <t>Butcher Ghoul</t>
  </si>
  <si>
    <t>Animate Dead</t>
  </si>
  <si>
    <t>Nest of Scarabs</t>
  </si>
  <si>
    <t>Plague Myr</t>
  </si>
  <si>
    <t>Force of Despair</t>
  </si>
  <si>
    <t>Phyrexian Scriptures</t>
  </si>
  <si>
    <t>Vindictive Vampire</t>
  </si>
  <si>
    <t>Pawn of Ulamog</t>
  </si>
  <si>
    <t>Whip of Erebos</t>
  </si>
  <si>
    <t>Mausoleum Secrets</t>
  </si>
  <si>
    <t>Extraplanar Lens</t>
  </si>
  <si>
    <t>Blowfly Infestation</t>
  </si>
  <si>
    <t>Dread Return</t>
  </si>
  <si>
    <t>Abhorrent Overlord</t>
  </si>
  <si>
    <t>Plague Stinger</t>
  </si>
  <si>
    <t>Ichor Rats</t>
  </si>
  <si>
    <t>Necropede</t>
  </si>
  <si>
    <t>Blood Artist</t>
  </si>
  <si>
    <t>Languish</t>
  </si>
  <si>
    <t>Culling the Weak</t>
  </si>
  <si>
    <t>Ayara</t>
  </si>
  <si>
    <t>Zulaport Cutthroat</t>
  </si>
  <si>
    <t>Astral Cornucopia</t>
  </si>
  <si>
    <t>Weaponcraft Enthusiast</t>
  </si>
  <si>
    <t>Ogre Slumlord</t>
  </si>
  <si>
    <t>Phyrexian Arena</t>
  </si>
  <si>
    <t>Night's Whisper</t>
  </si>
  <si>
    <t>Font of Agonies</t>
  </si>
  <si>
    <t>Living Death</t>
  </si>
  <si>
    <t>Yawgmoth's Vile Offering</t>
  </si>
  <si>
    <t>Nether Traitor</t>
  </si>
  <si>
    <t>Victimize</t>
  </si>
  <si>
    <t>Worn Powerstone</t>
  </si>
  <si>
    <t>Liliana, heretical Healer</t>
  </si>
  <si>
    <t>Deathgreeter</t>
  </si>
  <si>
    <t>Read the Bones</t>
  </si>
  <si>
    <t>Sengir Autocrat</t>
  </si>
  <si>
    <t>Crux of Fate</t>
  </si>
  <si>
    <t>Dark Ritual</t>
  </si>
  <si>
    <t>Vilis</t>
  </si>
  <si>
    <t>Cabal Ritual</t>
  </si>
  <si>
    <t>Gary</t>
  </si>
  <si>
    <t>Reassembling Skeleton</t>
  </si>
  <si>
    <t>Mutilate</t>
  </si>
  <si>
    <t>Sling-Gang Lieutenant</t>
  </si>
  <si>
    <t>Dross Harvester</t>
  </si>
  <si>
    <t>Crypt of Agadeem</t>
  </si>
  <si>
    <t>Snuff Out</t>
  </si>
  <si>
    <t>Sifter of Skulls</t>
  </si>
  <si>
    <t>Endrek Sahr</t>
  </si>
  <si>
    <t>Bloodghast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</si>
</sst>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theme="4" tint="0.49998474074526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33">
    <xf numFmtId="0" fontId="0" fillId="0" borderId="0" xfId="0"/>
    <xf numFmtId="0" fontId="5" fillId="5" borderId="2" xfId="5" applyFont="1" applyBorder="1" applyAlignment="1">
      <alignment horizontal="center" vertical="center"/>
    </xf>
    <xf numFmtId="0" fontId="6" fillId="4" borderId="3" xfId="4" applyFont="1" applyBorder="1" applyAlignment="1">
      <alignment horizontal="center" vertical="center"/>
    </xf>
    <xf numFmtId="0" fontId="5" fillId="5" borderId="6" xfId="5" applyFont="1" applyBorder="1" applyAlignment="1">
      <alignment horizontal="center" vertical="center"/>
    </xf>
    <xf numFmtId="0" fontId="2" fillId="4" borderId="1" xfId="1" applyFill="1" applyAlignment="1">
      <alignment horizontal="center" vertical="center"/>
    </xf>
    <xf numFmtId="0" fontId="0" fillId="0" borderId="11" xfId="0" applyFont="1" applyBorder="1"/>
    <xf numFmtId="164" fontId="0" fillId="3" borderId="4" xfId="3" applyNumberFormat="1" applyFont="1" applyBorder="1"/>
    <xf numFmtId="164" fontId="0" fillId="3" borderId="7" xfId="3" applyNumberFormat="1" applyFont="1" applyBorder="1"/>
    <xf numFmtId="0" fontId="0" fillId="0" borderId="12" xfId="0" applyFont="1" applyBorder="1"/>
    <xf numFmtId="164" fontId="0" fillId="3" borderId="8" xfId="3" applyNumberFormat="1" applyFont="1" applyBorder="1"/>
    <xf numFmtId="164" fontId="0" fillId="3" borderId="9" xfId="3" applyNumberFormat="1" applyFont="1" applyBorder="1"/>
    <xf numFmtId="0" fontId="0" fillId="0" borderId="13" xfId="0" applyFont="1" applyBorder="1"/>
    <xf numFmtId="164" fontId="0" fillId="3" borderId="5" xfId="3" applyNumberFormat="1" applyFont="1" applyBorder="1"/>
    <xf numFmtId="164" fontId="0" fillId="3" borderId="10" xfId="3" applyNumberFormat="1" applyFont="1" applyBorder="1"/>
    <xf numFmtId="164" fontId="3" fillId="2" borderId="0" xfId="2" applyNumberFormat="1" applyAlignment="1">
      <alignment horizontal="center" vertical="center"/>
    </xf>
    <xf numFmtId="164" fontId="7" fillId="2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4" borderId="1" xfId="1" applyFont="1" applyFill="1" applyAlignment="1">
      <alignment horizontal="center" vertical="center"/>
    </xf>
    <xf numFmtId="0" fontId="3" fillId="2" borderId="12" xfId="2" applyBorder="1"/>
    <xf numFmtId="0" fontId="3" fillId="2" borderId="11" xfId="2" applyBorder="1"/>
    <xf numFmtId="0" fontId="5" fillId="5" borderId="14" xfId="5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" fontId="9" fillId="0" borderId="14" xfId="0" applyNumberFormat="1" applyFont="1" applyBorder="1" applyAlignment="1">
      <alignment horizontal="center" vertical="center"/>
    </xf>
    <xf numFmtId="0" fontId="0" fillId="0" borderId="15" xfId="0" applyFont="1" applyBorder="1"/>
    <xf numFmtId="164" fontId="7" fillId="2" borderId="14" xfId="2" applyNumberFormat="1" applyFont="1" applyBorder="1" applyAlignment="1">
      <alignment horizontal="center" vertical="center"/>
    </xf>
    <xf numFmtId="164" fontId="3" fillId="2" borderId="16" xfId="2" applyNumberFormat="1" applyBorder="1"/>
    <xf numFmtId="164" fontId="3" fillId="2" borderId="0" xfId="2" applyNumberFormat="1"/>
    <xf numFmtId="0" fontId="0" fillId="0" borderId="17" xfId="0" applyBorder="1"/>
    <xf numFmtId="0" fontId="0" fillId="0" borderId="12" xfId="0" applyBorder="1"/>
    <xf numFmtId="0" fontId="0" fillId="0" borderId="11" xfId="0" applyBorder="1"/>
    <xf numFmtId="0" fontId="0" fillId="0" borderId="17" xfId="0" applyFont="1" applyBorder="1"/>
    <xf numFmtId="2" fontId="9" fillId="0" borderId="14" xfId="0" quotePrefix="1" applyNumberFormat="1" applyFont="1" applyBorder="1" applyAlignment="1">
      <alignment horizontal="center" vertical="center"/>
    </xf>
    <xf numFmtId="0" fontId="3" fillId="2" borderId="17" xfId="2" applyBorder="1"/>
  </cellXfs>
  <cellStyles count="6">
    <cellStyle name="20% - Accent2" xfId="4" builtinId="34"/>
    <cellStyle name="60% - Accent2" xfId="5" builtinId="36"/>
    <cellStyle name="Bad" xfId="2" builtinId="27"/>
    <cellStyle name="Heading 1" xfId="1" builtinId="1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17B0C-C57D-460F-BE5A-D3767C9EDEB7}">
  <sheetPr codeName="Sheet3"/>
  <dimension ref="A1:Q43"/>
  <sheetViews>
    <sheetView zoomScale="85" zoomScaleNormal="85" workbookViewId="0">
      <selection activeCell="U39" sqref="U39:U40"/>
    </sheetView>
  </sheetViews>
  <sheetFormatPr defaultRowHeight="14.4" x14ac:dyDescent="0.3"/>
  <cols>
    <col min="1" max="1" width="17.88671875" customWidth="1"/>
    <col min="2" max="2" width="9.33203125" customWidth="1"/>
    <col min="3" max="3" width="17.88671875" customWidth="1"/>
    <col min="5" max="5" width="17.88671875" customWidth="1"/>
    <col min="7" max="7" width="17.88671875" customWidth="1"/>
    <col min="9" max="9" width="17.88671875" customWidth="1"/>
    <col min="11" max="11" width="17.88671875" customWidth="1"/>
    <col min="13" max="13" width="17.88671875" customWidth="1"/>
    <col min="16" max="16" width="18.33203125" customWidth="1"/>
    <col min="17" max="17" width="9.5546875" bestFit="1" customWidth="1"/>
  </cols>
  <sheetData>
    <row r="1" spans="1:14" ht="20.399999999999999" thickBot="1" x14ac:dyDescent="0.35">
      <c r="A1" s="1" t="s">
        <v>6</v>
      </c>
      <c r="B1" s="2" t="s">
        <v>1</v>
      </c>
      <c r="C1" s="3" t="s">
        <v>7</v>
      </c>
      <c r="D1" s="4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" thickTop="1" x14ac:dyDescent="0.3">
      <c r="A2" s="19" t="s">
        <v>27</v>
      </c>
      <c r="B2" s="6">
        <v>6.8</v>
      </c>
      <c r="C2" s="5" t="s">
        <v>178</v>
      </c>
      <c r="D2" s="7">
        <v>25</v>
      </c>
      <c r="E2" s="19" t="s">
        <v>48</v>
      </c>
      <c r="F2" s="6">
        <v>1.5</v>
      </c>
      <c r="G2" s="29" t="s">
        <v>180</v>
      </c>
      <c r="H2" s="6">
        <v>70</v>
      </c>
      <c r="I2" s="5" t="s">
        <v>191</v>
      </c>
      <c r="J2" s="6">
        <v>3.2</v>
      </c>
      <c r="K2" s="5" t="s">
        <v>179</v>
      </c>
      <c r="L2" s="6">
        <v>2.5</v>
      </c>
      <c r="M2" s="5" t="s">
        <v>184</v>
      </c>
      <c r="N2" s="6">
        <v>6.59</v>
      </c>
    </row>
    <row r="3" spans="1:14" x14ac:dyDescent="0.3">
      <c r="A3" s="8" t="s">
        <v>92</v>
      </c>
      <c r="B3" s="7">
        <v>0.1</v>
      </c>
      <c r="C3" s="8" t="s">
        <v>182</v>
      </c>
      <c r="D3" s="7">
        <v>0.05</v>
      </c>
      <c r="E3" s="28" t="s">
        <v>209</v>
      </c>
      <c r="F3" s="7">
        <v>3.5</v>
      </c>
      <c r="G3" s="28" t="s">
        <v>185</v>
      </c>
      <c r="H3" s="7">
        <v>0.15</v>
      </c>
      <c r="I3" s="8" t="s">
        <v>194</v>
      </c>
      <c r="J3" s="7">
        <v>0.05</v>
      </c>
      <c r="K3" s="8" t="s">
        <v>181</v>
      </c>
      <c r="L3" s="7">
        <v>0.88</v>
      </c>
      <c r="M3" s="8" t="s">
        <v>214</v>
      </c>
      <c r="N3" s="7">
        <v>6</v>
      </c>
    </row>
    <row r="4" spans="1:14" x14ac:dyDescent="0.3">
      <c r="A4" s="8" t="s">
        <v>92</v>
      </c>
      <c r="B4" s="7">
        <v>0.1</v>
      </c>
      <c r="C4" s="8" t="s">
        <v>186</v>
      </c>
      <c r="D4" s="7">
        <v>11.92</v>
      </c>
      <c r="E4" s="18" t="s">
        <v>87</v>
      </c>
      <c r="F4" s="7">
        <v>1.89</v>
      </c>
      <c r="G4" s="28" t="s">
        <v>187</v>
      </c>
      <c r="H4" s="7">
        <v>4.9000000000000004</v>
      </c>
      <c r="I4" s="8" t="s">
        <v>77</v>
      </c>
      <c r="J4" s="7">
        <v>1.59</v>
      </c>
      <c r="K4" s="18" t="s">
        <v>183</v>
      </c>
      <c r="L4" s="7">
        <v>0.33</v>
      </c>
      <c r="M4" s="8" t="s">
        <v>226</v>
      </c>
      <c r="N4" s="7">
        <v>1.6</v>
      </c>
    </row>
    <row r="5" spans="1:14" x14ac:dyDescent="0.3">
      <c r="A5" s="8" t="s">
        <v>190</v>
      </c>
      <c r="B5" s="7">
        <v>3.51</v>
      </c>
      <c r="C5" s="8" t="s">
        <v>188</v>
      </c>
      <c r="D5" s="7">
        <v>0.1</v>
      </c>
      <c r="E5" s="28" t="s">
        <v>225</v>
      </c>
      <c r="F5" s="7">
        <v>1.4</v>
      </c>
      <c r="G5" s="28" t="s">
        <v>189</v>
      </c>
      <c r="H5" s="7">
        <v>0.48</v>
      </c>
      <c r="I5" s="8" t="s">
        <v>223</v>
      </c>
      <c r="J5" s="7">
        <v>0.14000000000000001</v>
      </c>
      <c r="K5" s="8" t="s">
        <v>192</v>
      </c>
      <c r="L5" s="7">
        <v>21.5</v>
      </c>
      <c r="M5" s="8" t="s">
        <v>231</v>
      </c>
      <c r="N5" s="7">
        <v>1</v>
      </c>
    </row>
    <row r="6" spans="1:14" x14ac:dyDescent="0.3">
      <c r="A6" s="8" t="s">
        <v>92</v>
      </c>
      <c r="B6" s="7">
        <v>0.1</v>
      </c>
      <c r="C6" s="8" t="s">
        <v>41</v>
      </c>
      <c r="D6" s="7">
        <v>0.05</v>
      </c>
      <c r="E6" s="18" t="s">
        <v>234</v>
      </c>
      <c r="F6" s="7">
        <v>39</v>
      </c>
      <c r="G6" s="28" t="s">
        <v>196</v>
      </c>
      <c r="H6" s="7">
        <v>3</v>
      </c>
      <c r="I6" s="18" t="s">
        <v>227</v>
      </c>
      <c r="J6" s="7">
        <v>0.45</v>
      </c>
      <c r="K6" s="8" t="s">
        <v>193</v>
      </c>
      <c r="L6" s="7">
        <v>1.95</v>
      </c>
      <c r="M6" s="8"/>
      <c r="N6" s="7"/>
    </row>
    <row r="7" spans="1:14" x14ac:dyDescent="0.3">
      <c r="A7" s="8" t="s">
        <v>92</v>
      </c>
      <c r="B7" s="7">
        <v>0.1</v>
      </c>
      <c r="C7" s="8" t="s">
        <v>200</v>
      </c>
      <c r="D7" s="7">
        <v>0.02</v>
      </c>
      <c r="E7" s="28" t="s">
        <v>235</v>
      </c>
      <c r="F7" s="7">
        <v>3.9</v>
      </c>
      <c r="G7" s="18" t="s">
        <v>42</v>
      </c>
      <c r="H7" s="7">
        <v>0.2</v>
      </c>
      <c r="I7" s="8" t="s">
        <v>229</v>
      </c>
      <c r="J7" s="7">
        <v>11.5</v>
      </c>
      <c r="K7" s="8" t="s">
        <v>195</v>
      </c>
      <c r="L7" s="7">
        <v>19.7</v>
      </c>
      <c r="M7" s="8"/>
      <c r="N7" s="7"/>
    </row>
    <row r="8" spans="1:14" x14ac:dyDescent="0.3">
      <c r="A8" s="8" t="s">
        <v>92</v>
      </c>
      <c r="B8" s="7">
        <v>0.1</v>
      </c>
      <c r="C8" s="8" t="s">
        <v>201</v>
      </c>
      <c r="D8" s="7">
        <v>2</v>
      </c>
      <c r="E8" s="28"/>
      <c r="F8" s="7"/>
      <c r="G8" s="28" t="s">
        <v>205</v>
      </c>
      <c r="H8" s="7">
        <v>17</v>
      </c>
      <c r="I8" s="8" t="s">
        <v>230</v>
      </c>
      <c r="J8" s="7">
        <v>0.1</v>
      </c>
      <c r="K8" s="8" t="s">
        <v>197</v>
      </c>
      <c r="L8" s="7">
        <v>3.49</v>
      </c>
      <c r="M8" s="8"/>
      <c r="N8" s="7"/>
    </row>
    <row r="9" spans="1:14" x14ac:dyDescent="0.3">
      <c r="A9" s="27" t="s">
        <v>202</v>
      </c>
      <c r="B9" s="7">
        <v>0.02</v>
      </c>
      <c r="C9" s="8" t="s">
        <v>204</v>
      </c>
      <c r="D9" s="7">
        <v>5</v>
      </c>
      <c r="E9" s="28"/>
      <c r="F9" s="7"/>
      <c r="G9" s="28" t="s">
        <v>206</v>
      </c>
      <c r="H9" s="7">
        <v>0.7</v>
      </c>
      <c r="I9" s="8"/>
      <c r="J9" s="7"/>
      <c r="K9" s="18" t="s">
        <v>198</v>
      </c>
      <c r="L9" s="7">
        <v>13.5</v>
      </c>
      <c r="M9" s="8"/>
      <c r="N9" s="7"/>
    </row>
    <row r="10" spans="1:14" x14ac:dyDescent="0.3">
      <c r="A10" s="27" t="s">
        <v>92</v>
      </c>
      <c r="B10" s="7">
        <v>0.1</v>
      </c>
      <c r="C10" s="8" t="s">
        <v>73</v>
      </c>
      <c r="D10" s="7">
        <v>23.49</v>
      </c>
      <c r="E10" s="28"/>
      <c r="F10" s="7"/>
      <c r="G10" s="28" t="s">
        <v>207</v>
      </c>
      <c r="H10" s="7">
        <v>3</v>
      </c>
      <c r="I10" s="8"/>
      <c r="J10" s="7"/>
      <c r="K10" s="8" t="s">
        <v>199</v>
      </c>
      <c r="L10" s="7">
        <v>6.85</v>
      </c>
      <c r="M10" s="8"/>
      <c r="N10" s="7"/>
    </row>
    <row r="11" spans="1:14" x14ac:dyDescent="0.3">
      <c r="A11" s="27" t="s">
        <v>92</v>
      </c>
      <c r="B11" s="7">
        <v>0.1</v>
      </c>
      <c r="C11" s="8" t="s">
        <v>220</v>
      </c>
      <c r="D11" s="7">
        <v>4</v>
      </c>
      <c r="E11" s="28"/>
      <c r="F11" s="7"/>
      <c r="G11" s="28" t="s">
        <v>216</v>
      </c>
      <c r="H11" s="7">
        <v>0.5</v>
      </c>
      <c r="I11" s="8"/>
      <c r="J11" s="7"/>
      <c r="K11" s="18" t="s">
        <v>203</v>
      </c>
      <c r="L11" s="7">
        <v>1.19</v>
      </c>
      <c r="M11" s="8"/>
      <c r="N11" s="7"/>
    </row>
    <row r="12" spans="1:14" x14ac:dyDescent="0.3">
      <c r="A12" s="8" t="s">
        <v>92</v>
      </c>
      <c r="B12" s="7">
        <v>0.1</v>
      </c>
      <c r="C12" s="8" t="s">
        <v>232</v>
      </c>
      <c r="D12" s="7">
        <v>0.16</v>
      </c>
      <c r="E12" s="28"/>
      <c r="F12" s="7"/>
      <c r="G12" s="28" t="s">
        <v>218</v>
      </c>
      <c r="H12" s="7">
        <v>0.5</v>
      </c>
      <c r="I12" s="8"/>
      <c r="J12" s="7"/>
      <c r="K12" s="8" t="s">
        <v>32</v>
      </c>
      <c r="L12" s="7">
        <v>2</v>
      </c>
      <c r="M12" s="8"/>
      <c r="N12" s="7"/>
    </row>
    <row r="13" spans="1:14" x14ac:dyDescent="0.3">
      <c r="A13" s="8" t="s">
        <v>92</v>
      </c>
      <c r="B13" s="7">
        <v>0.1</v>
      </c>
      <c r="C13" s="8" t="s">
        <v>236</v>
      </c>
      <c r="D13" s="7">
        <v>43</v>
      </c>
      <c r="E13" s="28"/>
      <c r="F13" s="7"/>
      <c r="G13" s="28" t="s">
        <v>222</v>
      </c>
      <c r="H13" s="7">
        <v>2.9</v>
      </c>
      <c r="I13" s="8"/>
      <c r="J13" s="7"/>
      <c r="K13" s="8" t="s">
        <v>208</v>
      </c>
      <c r="L13" s="7">
        <v>0.03</v>
      </c>
      <c r="M13" s="8"/>
      <c r="N13" s="7"/>
    </row>
    <row r="14" spans="1:14" x14ac:dyDescent="0.3">
      <c r="A14" s="8" t="s">
        <v>210</v>
      </c>
      <c r="B14" s="7">
        <v>20</v>
      </c>
      <c r="C14" s="8" t="s">
        <v>237</v>
      </c>
      <c r="D14" s="7">
        <v>0.02</v>
      </c>
      <c r="E14" s="28"/>
      <c r="F14" s="7"/>
      <c r="G14" s="18" t="s">
        <v>233</v>
      </c>
      <c r="H14" s="7">
        <v>3.89</v>
      </c>
      <c r="I14" s="8"/>
      <c r="J14" s="7"/>
      <c r="K14" s="8" t="s">
        <v>80</v>
      </c>
      <c r="L14" s="7">
        <v>4</v>
      </c>
      <c r="M14" s="8"/>
      <c r="N14" s="7"/>
    </row>
    <row r="15" spans="1:14" x14ac:dyDescent="0.3">
      <c r="A15" s="8" t="s">
        <v>79</v>
      </c>
      <c r="B15" s="7">
        <v>0.05</v>
      </c>
      <c r="C15" s="18" t="s">
        <v>100</v>
      </c>
      <c r="D15" s="7">
        <v>4</v>
      </c>
      <c r="E15" s="28"/>
      <c r="F15" s="7"/>
      <c r="G15" s="18" t="s">
        <v>57</v>
      </c>
      <c r="H15" s="7">
        <v>50</v>
      </c>
      <c r="I15" s="8"/>
      <c r="J15" s="7"/>
      <c r="K15" s="8" t="s">
        <v>211</v>
      </c>
      <c r="L15" s="7">
        <v>159.99</v>
      </c>
      <c r="M15" s="8"/>
      <c r="N15" s="7"/>
    </row>
    <row r="16" spans="1:14" x14ac:dyDescent="0.3">
      <c r="A16" s="8" t="s">
        <v>92</v>
      </c>
      <c r="B16" s="7">
        <v>0.1</v>
      </c>
      <c r="C16" s="28"/>
      <c r="D16" s="7"/>
      <c r="E16" s="28"/>
      <c r="F16" s="7"/>
      <c r="G16" s="28" t="s">
        <v>244</v>
      </c>
      <c r="H16" s="7">
        <v>0.02</v>
      </c>
      <c r="I16" s="8"/>
      <c r="J16" s="7"/>
      <c r="K16" s="8" t="s">
        <v>212</v>
      </c>
      <c r="L16" s="7">
        <v>3.5</v>
      </c>
      <c r="M16" s="8"/>
      <c r="N16" s="7"/>
    </row>
    <row r="17" spans="1:14" x14ac:dyDescent="0.3">
      <c r="A17" s="8" t="s">
        <v>217</v>
      </c>
      <c r="B17" s="7">
        <v>6.8</v>
      </c>
      <c r="C17" s="28"/>
      <c r="D17" s="7"/>
      <c r="E17" s="8"/>
      <c r="F17" s="7"/>
      <c r="G17" s="28"/>
      <c r="H17" s="7"/>
      <c r="I17" s="8"/>
      <c r="J17" s="7"/>
      <c r="K17" s="8" t="s">
        <v>213</v>
      </c>
      <c r="L17" s="7">
        <v>1.4</v>
      </c>
      <c r="M17" s="8"/>
      <c r="N17" s="7"/>
    </row>
    <row r="18" spans="1:14" x14ac:dyDescent="0.3">
      <c r="A18" s="27" t="s">
        <v>92</v>
      </c>
      <c r="B18" s="7">
        <v>0.1</v>
      </c>
      <c r="C18" s="28"/>
      <c r="D18" s="7"/>
      <c r="E18" s="8"/>
      <c r="F18" s="7"/>
      <c r="G18" s="8"/>
      <c r="H18" s="7"/>
      <c r="I18" s="8"/>
      <c r="J18" s="7"/>
      <c r="K18" s="8" t="s">
        <v>215</v>
      </c>
      <c r="L18" s="7">
        <v>0.05</v>
      </c>
      <c r="M18" s="8"/>
      <c r="N18" s="7"/>
    </row>
    <row r="19" spans="1:14" x14ac:dyDescent="0.3">
      <c r="A19" s="27" t="s">
        <v>92</v>
      </c>
      <c r="B19" s="6">
        <v>0.1</v>
      </c>
      <c r="C19" s="28"/>
      <c r="D19" s="7"/>
      <c r="E19" s="8"/>
      <c r="F19" s="7"/>
      <c r="G19" s="8"/>
      <c r="H19" s="7"/>
      <c r="I19" s="8"/>
      <c r="J19" s="7"/>
      <c r="K19" s="8" t="s">
        <v>219</v>
      </c>
      <c r="L19" s="7">
        <v>14</v>
      </c>
      <c r="M19" s="8"/>
      <c r="N19" s="7"/>
    </row>
    <row r="20" spans="1:14" x14ac:dyDescent="0.3">
      <c r="A20" s="27" t="s">
        <v>21</v>
      </c>
      <c r="B20" s="7">
        <v>1.37</v>
      </c>
      <c r="C20" s="28"/>
      <c r="D20" s="7"/>
      <c r="E20" s="8"/>
      <c r="F20" s="7"/>
      <c r="G20" s="8"/>
      <c r="H20" s="7"/>
      <c r="I20" s="8"/>
      <c r="J20" s="7"/>
      <c r="K20" s="8" t="s">
        <v>221</v>
      </c>
      <c r="L20" s="7">
        <v>1</v>
      </c>
      <c r="M20" s="8"/>
      <c r="N20" s="7"/>
    </row>
    <row r="21" spans="1:14" x14ac:dyDescent="0.3">
      <c r="A21" s="27" t="s">
        <v>228</v>
      </c>
      <c r="B21" s="7">
        <v>0.02</v>
      </c>
      <c r="C21" s="28"/>
      <c r="D21" s="7"/>
      <c r="E21" s="8"/>
      <c r="F21" s="7"/>
      <c r="G21" s="8"/>
      <c r="H21" s="7"/>
      <c r="I21" s="8"/>
      <c r="J21" s="7"/>
      <c r="K21" s="8" t="s">
        <v>224</v>
      </c>
      <c r="L21" s="7">
        <v>2.15</v>
      </c>
      <c r="M21" s="8"/>
      <c r="N21" s="7"/>
    </row>
    <row r="22" spans="1:14" x14ac:dyDescent="0.3">
      <c r="A22" s="27" t="s">
        <v>92</v>
      </c>
      <c r="B22" s="7">
        <v>0.1</v>
      </c>
      <c r="C22" s="28"/>
      <c r="D22" s="7"/>
      <c r="E22" s="8"/>
      <c r="F22" s="7"/>
      <c r="G22" s="8"/>
      <c r="H22" s="7"/>
      <c r="I22" s="8"/>
      <c r="J22" s="7"/>
      <c r="K22" s="8" t="s">
        <v>239</v>
      </c>
      <c r="L22" s="7">
        <v>5.5</v>
      </c>
      <c r="M22" s="8"/>
      <c r="N22" s="7"/>
    </row>
    <row r="23" spans="1:14" x14ac:dyDescent="0.3">
      <c r="A23" s="27" t="s">
        <v>92</v>
      </c>
      <c r="B23" s="7">
        <v>0.1</v>
      </c>
      <c r="C23" s="8"/>
      <c r="D23" s="7"/>
      <c r="E23" s="8"/>
      <c r="F23" s="7"/>
      <c r="G23" s="8"/>
      <c r="H23" s="7"/>
      <c r="I23" s="8"/>
      <c r="J23" s="7"/>
      <c r="K23" s="8" t="s">
        <v>240</v>
      </c>
      <c r="L23" s="7">
        <v>4.5</v>
      </c>
      <c r="M23" s="8"/>
      <c r="N23" s="7"/>
    </row>
    <row r="24" spans="1:14" x14ac:dyDescent="0.3">
      <c r="A24" s="30" t="s">
        <v>238</v>
      </c>
      <c r="B24" s="7">
        <v>5</v>
      </c>
      <c r="C24" s="8"/>
      <c r="D24" s="7"/>
      <c r="E24" s="8"/>
      <c r="F24" s="7"/>
      <c r="G24" s="8"/>
      <c r="H24" s="7"/>
      <c r="I24" s="8"/>
      <c r="J24" s="7"/>
      <c r="K24" s="18" t="s">
        <v>241</v>
      </c>
      <c r="L24" s="7">
        <v>11</v>
      </c>
      <c r="M24" s="8"/>
      <c r="N24" s="7"/>
    </row>
    <row r="25" spans="1:14" x14ac:dyDescent="0.3">
      <c r="A25" s="27" t="s">
        <v>92</v>
      </c>
      <c r="B25" s="7">
        <v>0.1</v>
      </c>
      <c r="C25" s="8"/>
      <c r="D25" s="7"/>
      <c r="E25" s="8"/>
      <c r="F25" s="7"/>
      <c r="G25" s="8"/>
      <c r="H25" s="7"/>
      <c r="I25" s="8"/>
      <c r="J25" s="7"/>
      <c r="K25" s="8" t="s">
        <v>242</v>
      </c>
      <c r="L25" s="7">
        <v>3.99</v>
      </c>
      <c r="M25" s="8"/>
      <c r="N25" s="7"/>
    </row>
    <row r="26" spans="1:14" x14ac:dyDescent="0.3">
      <c r="A26" s="27" t="s">
        <v>92</v>
      </c>
      <c r="B26" s="7">
        <v>0.1</v>
      </c>
      <c r="C26" s="8"/>
      <c r="D26" s="7"/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3">
      <c r="A27" s="27" t="s">
        <v>92</v>
      </c>
      <c r="B27" s="7">
        <v>0.1</v>
      </c>
      <c r="C27" s="8"/>
      <c r="D27" s="7"/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3">
      <c r="A28" s="27" t="s">
        <v>92</v>
      </c>
      <c r="B28" s="7">
        <v>0.1</v>
      </c>
      <c r="C28" s="8"/>
      <c r="D28" s="7"/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3">
      <c r="A29" s="27" t="s">
        <v>243</v>
      </c>
      <c r="B29" s="7">
        <v>0.05</v>
      </c>
      <c r="C29" s="8"/>
      <c r="D29" s="7"/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3">
      <c r="A30" s="8" t="s">
        <v>92</v>
      </c>
      <c r="B30" s="7">
        <v>0.1</v>
      </c>
      <c r="C30" s="8"/>
      <c r="D30" s="7"/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3">
      <c r="A31" s="8" t="s">
        <v>92</v>
      </c>
      <c r="B31" s="7">
        <v>0.1</v>
      </c>
      <c r="C31" s="8"/>
      <c r="D31" s="7"/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3">
      <c r="A32" s="8"/>
      <c r="B32" s="7"/>
      <c r="C32" s="8"/>
      <c r="D32" s="7"/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3">
      <c r="A33" s="8"/>
      <c r="B33" s="7"/>
      <c r="C33" s="8"/>
      <c r="D33" s="7"/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3">
      <c r="A34" s="8"/>
      <c r="B34" s="7"/>
      <c r="C34" s="8"/>
      <c r="D34" s="7"/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3">
      <c r="A35" s="8"/>
      <c r="B35" s="7"/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3">
      <c r="A36" s="8"/>
      <c r="B36" s="9"/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3">
      <c r="A37" s="8"/>
      <c r="B37" s="9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399999999999999" x14ac:dyDescent="0.3">
      <c r="A38" s="8"/>
      <c r="B38" s="9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22">
        <f>(Q39-COUNTA(A2,C15,E6,E4,E2,G7,G14,I6,K4,K9,K11,K24,G15))/Q39*100</f>
        <v>87</v>
      </c>
    </row>
    <row r="39" spans="1:17" ht="17.399999999999999" x14ac:dyDescent="0.3">
      <c r="A39" s="8"/>
      <c r="B39" s="9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COUNTA(A2:A39,A40,C2:C40,E2:E40,G2:G40,I2:I40,K2:K40,M2:M40)</f>
        <v>100</v>
      </c>
    </row>
    <row r="40" spans="1:17" ht="15" thickBot="1" x14ac:dyDescent="0.35">
      <c r="A40" s="23"/>
      <c r="B40" s="13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5.8" x14ac:dyDescent="0.3">
      <c r="A41" s="16"/>
      <c r="B41" s="14">
        <f>SUM(B2:B40)</f>
        <v>45.620000000000012</v>
      </c>
      <c r="C41" s="16"/>
      <c r="D41" s="14">
        <f>SUM(D2:D40)</f>
        <v>118.80999999999999</v>
      </c>
      <c r="E41" s="16"/>
      <c r="F41" s="14">
        <f>SUM(F2:F40)</f>
        <v>51.19</v>
      </c>
      <c r="G41" s="16"/>
      <c r="H41" s="14">
        <f>SUM(H2:H40)</f>
        <v>157.24000000000004</v>
      </c>
      <c r="I41" s="16"/>
      <c r="J41" s="14">
        <f>SUM(J2:J40)</f>
        <v>17.03</v>
      </c>
      <c r="K41" s="16"/>
      <c r="L41" s="14">
        <f>SUM(L2:L40)</f>
        <v>285</v>
      </c>
      <c r="M41" s="16"/>
      <c r="N41" s="14">
        <f>SUM(N2:N40)</f>
        <v>15.19</v>
      </c>
      <c r="P41" s="24">
        <f>SUM(B41,D41,F41,H41,J41,L41,N41)</f>
        <v>690.08</v>
      </c>
    </row>
    <row r="42" spans="1:17" ht="15" thickBot="1" x14ac:dyDescent="0.35">
      <c r="P42" s="25">
        <f>SUM(L24,L11,L9,L4,J6,H7,H14,F6,F4,F2,D15,B2,H15)</f>
        <v>133.75</v>
      </c>
    </row>
    <row r="43" spans="1:17" ht="15" thickTop="1" x14ac:dyDescent="0.3">
      <c r="P43" s="26">
        <f>P41-P42</f>
        <v>556.33000000000004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EB6F7-26A8-4D7D-9A44-71922070BB94}">
  <sheetPr codeName="Sheet1"/>
  <dimension ref="A1:Q43"/>
  <sheetViews>
    <sheetView tabSelected="1" zoomScale="85" zoomScaleNormal="85" workbookViewId="0">
      <selection activeCell="W38" sqref="W38"/>
    </sheetView>
  </sheetViews>
  <sheetFormatPr defaultRowHeight="14.4" x14ac:dyDescent="0.3"/>
  <cols>
    <col min="1" max="1" width="17.88671875" customWidth="1"/>
    <col min="2" max="2" width="9.33203125" customWidth="1"/>
    <col min="3" max="3" width="17.88671875" customWidth="1"/>
    <col min="4" max="4" width="9.109375" customWidth="1"/>
    <col min="5" max="5" width="17.88671875" customWidth="1"/>
    <col min="6" max="6" width="9.109375" customWidth="1"/>
    <col min="7" max="7" width="17.88671875" customWidth="1"/>
    <col min="8" max="8" width="9.109375" customWidth="1"/>
    <col min="9" max="9" width="17.88671875" customWidth="1"/>
    <col min="10" max="10" width="9.109375" customWidth="1"/>
    <col min="11" max="11" width="17.88671875" customWidth="1"/>
    <col min="12" max="12" width="9.109375" customWidth="1"/>
    <col min="13" max="13" width="17.88671875" customWidth="1"/>
    <col min="14" max="14" width="9.109375" customWidth="1"/>
    <col min="16" max="16" width="18.33203125" customWidth="1"/>
    <col min="17" max="17" width="9.5546875" bestFit="1" customWidth="1"/>
  </cols>
  <sheetData>
    <row r="1" spans="1:14" ht="20.399999999999999" thickBot="1" x14ac:dyDescent="0.35">
      <c r="A1" s="1" t="s">
        <v>6</v>
      </c>
      <c r="B1" s="2" t="s">
        <v>1</v>
      </c>
      <c r="C1" s="3" t="s">
        <v>7</v>
      </c>
      <c r="D1" s="4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" thickTop="1" x14ac:dyDescent="0.3">
      <c r="A2" s="5" t="s">
        <v>38</v>
      </c>
      <c r="B2" s="6">
        <v>6.4</v>
      </c>
      <c r="C2" s="5" t="s">
        <v>121</v>
      </c>
      <c r="D2" s="7">
        <v>0.5</v>
      </c>
      <c r="E2" s="5" t="s">
        <v>23</v>
      </c>
      <c r="F2" s="6">
        <v>9</v>
      </c>
      <c r="G2" s="5" t="s">
        <v>37</v>
      </c>
      <c r="H2" s="6">
        <v>3</v>
      </c>
      <c r="I2" s="5" t="s">
        <v>124</v>
      </c>
      <c r="J2" s="6">
        <v>4</v>
      </c>
      <c r="K2" s="5" t="s">
        <v>32</v>
      </c>
      <c r="L2" s="6">
        <v>2</v>
      </c>
      <c r="M2" s="5" t="s">
        <v>158</v>
      </c>
      <c r="N2" s="6">
        <v>0.5</v>
      </c>
    </row>
    <row r="3" spans="1:14" x14ac:dyDescent="0.3">
      <c r="A3" s="8" t="s">
        <v>5</v>
      </c>
      <c r="B3" s="7">
        <v>16.5</v>
      </c>
      <c r="C3" s="8" t="s">
        <v>122</v>
      </c>
      <c r="D3" s="7">
        <v>4</v>
      </c>
      <c r="E3" s="8" t="s">
        <v>26</v>
      </c>
      <c r="F3" s="7">
        <v>19</v>
      </c>
      <c r="G3" s="18" t="s">
        <v>31</v>
      </c>
      <c r="H3" s="7">
        <v>1</v>
      </c>
      <c r="I3" s="8" t="s">
        <v>127</v>
      </c>
      <c r="J3" s="7">
        <v>3</v>
      </c>
      <c r="K3" s="8" t="s">
        <v>128</v>
      </c>
      <c r="L3" s="7">
        <v>4.2</v>
      </c>
      <c r="M3" s="8"/>
      <c r="N3" s="7"/>
    </row>
    <row r="4" spans="1:14" x14ac:dyDescent="0.3">
      <c r="A4" s="8" t="s">
        <v>19</v>
      </c>
      <c r="B4" s="7">
        <v>0.05</v>
      </c>
      <c r="C4" s="8" t="s">
        <v>125</v>
      </c>
      <c r="D4" s="7">
        <v>15</v>
      </c>
      <c r="E4" s="18" t="s">
        <v>29</v>
      </c>
      <c r="F4" s="7">
        <v>0.5</v>
      </c>
      <c r="G4" s="18" t="s">
        <v>35</v>
      </c>
      <c r="H4" s="7">
        <v>3.5</v>
      </c>
      <c r="I4" s="8" t="s">
        <v>30</v>
      </c>
      <c r="J4" s="7">
        <v>19</v>
      </c>
      <c r="K4" s="8" t="s">
        <v>143</v>
      </c>
      <c r="L4" s="7">
        <v>11.63</v>
      </c>
      <c r="M4" s="8"/>
      <c r="N4" s="7"/>
    </row>
    <row r="5" spans="1:14" x14ac:dyDescent="0.3">
      <c r="A5" s="8" t="s">
        <v>25</v>
      </c>
      <c r="B5" s="7">
        <v>1</v>
      </c>
      <c r="C5" s="8" t="s">
        <v>126</v>
      </c>
      <c r="D5" s="7">
        <v>5</v>
      </c>
      <c r="E5" s="18" t="s">
        <v>2</v>
      </c>
      <c r="F5" s="7">
        <v>0.25</v>
      </c>
      <c r="G5" s="8" t="s">
        <v>129</v>
      </c>
      <c r="H5" s="7">
        <v>20</v>
      </c>
      <c r="I5" s="8" t="s">
        <v>132</v>
      </c>
      <c r="J5" s="7">
        <v>9</v>
      </c>
      <c r="K5" s="8"/>
      <c r="L5" s="7"/>
      <c r="M5" s="8"/>
      <c r="N5" s="7"/>
    </row>
    <row r="6" spans="1:14" x14ac:dyDescent="0.3">
      <c r="A6" s="8" t="s">
        <v>20</v>
      </c>
      <c r="B6" s="7">
        <v>19</v>
      </c>
      <c r="C6" s="8" t="s">
        <v>131</v>
      </c>
      <c r="D6" s="7">
        <v>6</v>
      </c>
      <c r="E6" s="8" t="s">
        <v>14</v>
      </c>
      <c r="F6" s="7">
        <v>1.53</v>
      </c>
      <c r="G6" s="8" t="s">
        <v>130</v>
      </c>
      <c r="H6" s="7">
        <v>0.02</v>
      </c>
      <c r="I6" s="8" t="s">
        <v>133</v>
      </c>
      <c r="J6" s="7">
        <v>12.79</v>
      </c>
      <c r="K6" s="8"/>
      <c r="L6" s="7"/>
      <c r="M6" s="8"/>
      <c r="N6" s="7"/>
    </row>
    <row r="7" spans="1:14" x14ac:dyDescent="0.3">
      <c r="A7" s="8" t="s">
        <v>4</v>
      </c>
      <c r="B7" s="7">
        <v>9.5</v>
      </c>
      <c r="C7" s="8" t="s">
        <v>135</v>
      </c>
      <c r="D7" s="7">
        <v>6.75</v>
      </c>
      <c r="E7" s="8" t="s">
        <v>149</v>
      </c>
      <c r="F7" s="7">
        <v>7</v>
      </c>
      <c r="G7" s="18" t="s">
        <v>15</v>
      </c>
      <c r="H7" s="7">
        <v>39</v>
      </c>
      <c r="I7" s="8" t="s">
        <v>151</v>
      </c>
      <c r="J7" s="7">
        <v>24.5</v>
      </c>
      <c r="K7" s="8"/>
      <c r="L7" s="7"/>
      <c r="M7" s="8"/>
      <c r="N7" s="7"/>
    </row>
    <row r="8" spans="1:14" x14ac:dyDescent="0.3">
      <c r="A8" s="8" t="s">
        <v>93</v>
      </c>
      <c r="B8" s="7">
        <v>13.5</v>
      </c>
      <c r="C8" s="8" t="s">
        <v>137</v>
      </c>
      <c r="D8" s="7">
        <v>18.989999999999998</v>
      </c>
      <c r="E8" s="8" t="s">
        <v>155</v>
      </c>
      <c r="F8" s="7">
        <v>7.0000000000000007E-2</v>
      </c>
      <c r="G8" s="8" t="s">
        <v>140</v>
      </c>
      <c r="H8" s="7">
        <v>3.49</v>
      </c>
      <c r="I8" s="8" t="s">
        <v>156</v>
      </c>
      <c r="J8" s="7">
        <v>7</v>
      </c>
      <c r="K8" s="8"/>
      <c r="L8" s="7"/>
      <c r="M8" s="8"/>
      <c r="N8" s="7"/>
    </row>
    <row r="9" spans="1:14" x14ac:dyDescent="0.3">
      <c r="A9" s="18" t="s">
        <v>91</v>
      </c>
      <c r="B9" s="7">
        <v>18.48</v>
      </c>
      <c r="C9" s="8" t="s">
        <v>141</v>
      </c>
      <c r="D9" s="7">
        <v>7</v>
      </c>
      <c r="E9" s="8" t="s">
        <v>161</v>
      </c>
      <c r="F9" s="7">
        <v>19.8</v>
      </c>
      <c r="G9" s="8" t="s">
        <v>150</v>
      </c>
      <c r="H9" s="7">
        <v>3.97</v>
      </c>
      <c r="I9" s="8" t="s">
        <v>174</v>
      </c>
      <c r="J9" s="7">
        <v>3</v>
      </c>
      <c r="K9" s="8"/>
      <c r="L9" s="7"/>
      <c r="M9" s="8"/>
      <c r="N9" s="7"/>
    </row>
    <row r="10" spans="1:14" x14ac:dyDescent="0.3">
      <c r="A10" s="18" t="s">
        <v>134</v>
      </c>
      <c r="B10" s="7">
        <v>15</v>
      </c>
      <c r="C10" s="8" t="s">
        <v>145</v>
      </c>
      <c r="D10" s="7">
        <v>16</v>
      </c>
      <c r="E10" s="18" t="s">
        <v>163</v>
      </c>
      <c r="F10" s="7">
        <v>42</v>
      </c>
      <c r="G10" s="8" t="s">
        <v>24</v>
      </c>
      <c r="H10" s="7">
        <v>0.65</v>
      </c>
      <c r="I10" s="8"/>
      <c r="J10" s="7"/>
      <c r="K10" s="8"/>
      <c r="L10" s="7"/>
      <c r="M10" s="8"/>
      <c r="N10" s="7"/>
    </row>
    <row r="11" spans="1:14" x14ac:dyDescent="0.3">
      <c r="A11" s="18" t="s">
        <v>105</v>
      </c>
      <c r="B11" s="7">
        <v>0.1</v>
      </c>
      <c r="C11" s="8" t="s">
        <v>147</v>
      </c>
      <c r="D11" s="7">
        <v>1.5</v>
      </c>
      <c r="E11" s="8" t="s">
        <v>164</v>
      </c>
      <c r="F11" s="7">
        <v>2.94</v>
      </c>
      <c r="G11" s="8" t="s">
        <v>165</v>
      </c>
      <c r="H11" s="7">
        <v>3</v>
      </c>
      <c r="I11" s="8"/>
      <c r="J11" s="7"/>
      <c r="K11" s="8"/>
      <c r="L11" s="7"/>
      <c r="M11" s="8"/>
      <c r="N11" s="7"/>
    </row>
    <row r="12" spans="1:14" x14ac:dyDescent="0.3">
      <c r="A12" s="8" t="s">
        <v>136</v>
      </c>
      <c r="B12" s="7">
        <v>4</v>
      </c>
      <c r="C12" s="8" t="s">
        <v>152</v>
      </c>
      <c r="D12" s="7">
        <v>5.5</v>
      </c>
      <c r="E12" s="8" t="s">
        <v>168</v>
      </c>
      <c r="F12" s="7">
        <v>5.69</v>
      </c>
      <c r="G12" s="8" t="s">
        <v>167</v>
      </c>
      <c r="H12" s="7">
        <v>6.2</v>
      </c>
      <c r="I12" s="8"/>
      <c r="J12" s="7"/>
      <c r="K12" s="8"/>
      <c r="L12" s="7"/>
      <c r="M12" s="8"/>
      <c r="N12" s="7"/>
    </row>
    <row r="13" spans="1:14" x14ac:dyDescent="0.3">
      <c r="A13" s="8" t="s">
        <v>138</v>
      </c>
      <c r="B13" s="7">
        <v>30</v>
      </c>
      <c r="C13" s="8" t="s">
        <v>153</v>
      </c>
      <c r="D13" s="7">
        <v>6</v>
      </c>
      <c r="E13" s="8" t="s">
        <v>169</v>
      </c>
      <c r="F13" s="7">
        <v>0.35</v>
      </c>
      <c r="G13" s="8" t="s">
        <v>172</v>
      </c>
      <c r="H13" s="7">
        <v>0.09</v>
      </c>
      <c r="I13" s="8"/>
      <c r="J13" s="7"/>
      <c r="K13" s="8"/>
      <c r="L13" s="7"/>
      <c r="M13" s="8"/>
      <c r="N13" s="7"/>
    </row>
    <row r="14" spans="1:14" x14ac:dyDescent="0.3">
      <c r="A14" s="8" t="s">
        <v>139</v>
      </c>
      <c r="B14" s="7">
        <v>3.5</v>
      </c>
      <c r="C14" s="8" t="s">
        <v>160</v>
      </c>
      <c r="D14" s="7">
        <v>4.45</v>
      </c>
      <c r="E14" s="8" t="s">
        <v>171</v>
      </c>
      <c r="F14" s="7">
        <v>11.8</v>
      </c>
      <c r="G14" s="18" t="s">
        <v>42</v>
      </c>
      <c r="H14" s="7">
        <v>0.02</v>
      </c>
      <c r="I14" s="8"/>
      <c r="J14" s="7"/>
      <c r="K14" s="8"/>
      <c r="L14" s="7"/>
      <c r="M14" s="8"/>
      <c r="N14" s="7"/>
    </row>
    <row r="15" spans="1:14" x14ac:dyDescent="0.3">
      <c r="A15" s="8" t="s">
        <v>3</v>
      </c>
      <c r="B15" s="7">
        <v>17.7</v>
      </c>
      <c r="C15" s="8" t="s">
        <v>13</v>
      </c>
      <c r="D15" s="7">
        <v>1.5</v>
      </c>
      <c r="E15" s="8" t="s">
        <v>175</v>
      </c>
      <c r="F15" s="7">
        <v>1.7</v>
      </c>
      <c r="G15" s="8" t="s">
        <v>177</v>
      </c>
      <c r="H15" s="7">
        <v>2.66</v>
      </c>
      <c r="I15" s="8"/>
      <c r="J15" s="7"/>
      <c r="K15" s="8"/>
      <c r="L15" s="7"/>
      <c r="M15" s="8"/>
      <c r="N15" s="7"/>
    </row>
    <row r="16" spans="1:14" x14ac:dyDescent="0.3">
      <c r="A16" s="8" t="s">
        <v>22</v>
      </c>
      <c r="B16" s="7">
        <v>7.49</v>
      </c>
      <c r="C16" s="8" t="s">
        <v>162</v>
      </c>
      <c r="D16" s="7">
        <v>4</v>
      </c>
      <c r="E16" s="8" t="s">
        <v>12</v>
      </c>
      <c r="F16" s="7">
        <v>5</v>
      </c>
      <c r="G16" s="8"/>
      <c r="H16" s="7"/>
      <c r="I16" s="8"/>
      <c r="J16" s="7"/>
      <c r="K16" s="8"/>
      <c r="L16" s="7"/>
      <c r="M16" s="8"/>
      <c r="N16" s="7"/>
    </row>
    <row r="17" spans="1:14" x14ac:dyDescent="0.3">
      <c r="A17" s="8" t="s">
        <v>142</v>
      </c>
      <c r="B17" s="7">
        <v>1</v>
      </c>
      <c r="C17" s="8" t="s">
        <v>166</v>
      </c>
      <c r="D17" s="7">
        <v>1.99</v>
      </c>
      <c r="E17" s="8"/>
      <c r="F17" s="7"/>
      <c r="G17" s="8"/>
      <c r="H17" s="7"/>
      <c r="I17" s="8"/>
      <c r="J17" s="7"/>
      <c r="K17" s="8"/>
      <c r="L17" s="7"/>
      <c r="M17" s="8"/>
      <c r="N17" s="7"/>
    </row>
    <row r="18" spans="1:14" x14ac:dyDescent="0.3">
      <c r="A18" s="8" t="s">
        <v>144</v>
      </c>
      <c r="B18" s="7">
        <v>16</v>
      </c>
      <c r="C18" s="8" t="s">
        <v>170</v>
      </c>
      <c r="D18" s="7">
        <v>0.02</v>
      </c>
      <c r="E18" s="8"/>
      <c r="F18" s="7"/>
      <c r="G18" s="8"/>
      <c r="H18" s="7"/>
      <c r="I18" s="8"/>
      <c r="J18" s="7"/>
      <c r="K18" s="8"/>
      <c r="L18" s="7"/>
      <c r="M18" s="8"/>
      <c r="N18" s="7"/>
    </row>
    <row r="19" spans="1:14" x14ac:dyDescent="0.3">
      <c r="A19" s="18" t="s">
        <v>146</v>
      </c>
      <c r="B19" s="6">
        <v>5</v>
      </c>
      <c r="C19" s="18" t="s">
        <v>176</v>
      </c>
      <c r="D19" s="7">
        <v>0.1</v>
      </c>
      <c r="E19" s="8"/>
      <c r="F19" s="7"/>
      <c r="G19" s="8"/>
      <c r="H19" s="7"/>
      <c r="I19" s="8"/>
      <c r="J19" s="7"/>
      <c r="K19" s="8"/>
      <c r="L19" s="7"/>
      <c r="M19" s="8"/>
      <c r="N19" s="7"/>
    </row>
    <row r="20" spans="1:14" x14ac:dyDescent="0.3">
      <c r="A20" s="8" t="s">
        <v>148</v>
      </c>
      <c r="B20" s="7">
        <v>1.5</v>
      </c>
      <c r="C20" s="8"/>
      <c r="D20" s="7"/>
      <c r="E20" s="8"/>
      <c r="F20" s="7"/>
      <c r="G20" s="8"/>
      <c r="H20" s="7"/>
      <c r="I20" s="8"/>
      <c r="J20" s="7"/>
      <c r="K20" s="8"/>
      <c r="L20" s="7"/>
      <c r="M20" s="8"/>
      <c r="N20" s="7"/>
    </row>
    <row r="21" spans="1:14" x14ac:dyDescent="0.3">
      <c r="A21" s="8" t="s">
        <v>102</v>
      </c>
      <c r="B21" s="7">
        <v>10.5</v>
      </c>
      <c r="C21" s="8"/>
      <c r="D21" s="7"/>
      <c r="E21" s="8"/>
      <c r="F21" s="7"/>
      <c r="G21" s="8"/>
      <c r="H21" s="7"/>
      <c r="I21" s="8"/>
      <c r="J21" s="7"/>
      <c r="K21" s="8"/>
      <c r="L21" s="7"/>
      <c r="M21" s="8"/>
      <c r="N21" s="7"/>
    </row>
    <row r="22" spans="1:14" x14ac:dyDescent="0.3">
      <c r="A22" s="18" t="s">
        <v>34</v>
      </c>
      <c r="B22" s="7">
        <v>0.05</v>
      </c>
      <c r="C22" s="8"/>
      <c r="D22" s="7"/>
      <c r="E22" s="8"/>
      <c r="F22" s="7"/>
      <c r="G22" s="8"/>
      <c r="H22" s="7"/>
      <c r="I22" s="8"/>
      <c r="J22" s="7"/>
      <c r="K22" s="8"/>
      <c r="L22" s="7"/>
      <c r="M22" s="8"/>
      <c r="N22" s="7"/>
    </row>
    <row r="23" spans="1:14" x14ac:dyDescent="0.3">
      <c r="A23" s="8" t="s">
        <v>154</v>
      </c>
      <c r="B23" s="7">
        <v>350</v>
      </c>
      <c r="C23" s="8"/>
      <c r="D23" s="7"/>
      <c r="E23" s="8"/>
      <c r="F23" s="7"/>
      <c r="G23" s="8"/>
      <c r="H23" s="7"/>
      <c r="I23" s="8"/>
      <c r="J23" s="7"/>
      <c r="K23" s="8"/>
      <c r="L23" s="7"/>
      <c r="M23" s="8"/>
      <c r="N23" s="7"/>
    </row>
    <row r="24" spans="1:14" x14ac:dyDescent="0.3">
      <c r="A24" s="18" t="s">
        <v>157</v>
      </c>
      <c r="B24" s="7">
        <v>4.92</v>
      </c>
      <c r="C24" s="8"/>
      <c r="D24" s="7"/>
      <c r="E24" s="8"/>
      <c r="F24" s="7"/>
      <c r="G24" s="8"/>
      <c r="H24" s="7"/>
      <c r="I24" s="8"/>
      <c r="J24" s="7"/>
      <c r="K24" s="8"/>
      <c r="L24" s="7"/>
      <c r="M24" s="8"/>
      <c r="N24" s="7"/>
    </row>
    <row r="25" spans="1:14" x14ac:dyDescent="0.3">
      <c r="A25" s="8" t="s">
        <v>18</v>
      </c>
      <c r="B25" s="7">
        <v>13.5</v>
      </c>
      <c r="C25" s="8"/>
      <c r="D25" s="7"/>
      <c r="E25" s="8"/>
      <c r="F25" s="7"/>
      <c r="G25" s="8"/>
      <c r="H25" s="7"/>
      <c r="I25" s="8"/>
      <c r="J25" s="7"/>
      <c r="K25" s="8"/>
      <c r="L25" s="7"/>
      <c r="M25" s="8"/>
      <c r="N25" s="7"/>
    </row>
    <row r="26" spans="1:14" x14ac:dyDescent="0.3">
      <c r="A26" s="8" t="s">
        <v>159</v>
      </c>
      <c r="B26" s="7">
        <v>3.5</v>
      </c>
      <c r="C26" s="8"/>
      <c r="D26" s="7"/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3">
      <c r="A27" s="18" t="s">
        <v>16</v>
      </c>
      <c r="B27" s="7">
        <v>25</v>
      </c>
      <c r="C27" s="8"/>
      <c r="D27" s="7"/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3">
      <c r="A28" s="8" t="s">
        <v>36</v>
      </c>
      <c r="B28" s="7">
        <v>0.36</v>
      </c>
      <c r="C28" s="8"/>
      <c r="D28" s="7"/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3">
      <c r="A29" s="8" t="s">
        <v>33</v>
      </c>
      <c r="B29" s="7">
        <v>0.05</v>
      </c>
      <c r="C29" s="8"/>
      <c r="D29" s="7"/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3">
      <c r="A30" s="8" t="s">
        <v>28</v>
      </c>
      <c r="B30" s="7">
        <v>2.99</v>
      </c>
      <c r="C30" s="8"/>
      <c r="D30" s="7"/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3">
      <c r="A31" s="8" t="s">
        <v>173</v>
      </c>
      <c r="B31" s="7">
        <v>0.15</v>
      </c>
      <c r="C31" s="8"/>
      <c r="D31" s="7"/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3">
      <c r="A32" s="8" t="s">
        <v>66</v>
      </c>
      <c r="B32" s="7">
        <v>0.1</v>
      </c>
      <c r="C32" s="8"/>
      <c r="D32" s="7"/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3">
      <c r="A33" s="8" t="s">
        <v>92</v>
      </c>
      <c r="B33" s="7">
        <v>0.1</v>
      </c>
      <c r="C33" s="8"/>
      <c r="D33" s="7"/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3">
      <c r="A34" s="8" t="s">
        <v>92</v>
      </c>
      <c r="B34" s="7">
        <v>0.1</v>
      </c>
      <c r="C34" s="8"/>
      <c r="D34" s="7"/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3">
      <c r="A35" s="8" t="s">
        <v>92</v>
      </c>
      <c r="B35" s="7">
        <v>0.1</v>
      </c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3">
      <c r="A36" s="8" t="s">
        <v>123</v>
      </c>
      <c r="B36" s="9">
        <v>0.1</v>
      </c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3">
      <c r="A37" s="8" t="s">
        <v>123</v>
      </c>
      <c r="B37" s="9">
        <v>0.1</v>
      </c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399999999999999" x14ac:dyDescent="0.3">
      <c r="A38" s="8" t="s">
        <v>123</v>
      </c>
      <c r="B38" s="9">
        <v>0.1</v>
      </c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22">
        <f>(Q39-COUNTA(A9,A10,A11,A19,A22,A24,A27,C19,E10,E5,E4,G3,G4,G7,G14))/Q39*100</f>
        <v>84.693877551020407</v>
      </c>
    </row>
    <row r="39" spans="1:17" ht="17.399999999999999" x14ac:dyDescent="0.3">
      <c r="A39" s="8" t="s">
        <v>123</v>
      </c>
      <c r="B39" s="9">
        <v>0.1</v>
      </c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COUNTA(A2:A40,C2:C40,E2:E40,G2:G40,I2:I40,K2:K40,M2:M40)</f>
        <v>98</v>
      </c>
    </row>
    <row r="40" spans="1:17" ht="15" thickBot="1" x14ac:dyDescent="0.35">
      <c r="A40" s="23" t="s">
        <v>123</v>
      </c>
      <c r="B40" s="13">
        <v>0.1</v>
      </c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5.8" x14ac:dyDescent="0.3">
      <c r="A41" s="16"/>
      <c r="B41" s="14">
        <f>SUM(B2:B40)</f>
        <v>597.6400000000001</v>
      </c>
      <c r="C41" s="16"/>
      <c r="D41" s="14">
        <f>SUM(D2:D40)</f>
        <v>104.29999999999998</v>
      </c>
      <c r="E41" s="16"/>
      <c r="F41" s="14">
        <f>SUM(F2:F40)</f>
        <v>126.63</v>
      </c>
      <c r="G41" s="16"/>
      <c r="H41" s="14">
        <f>SUM(H2:H40)</f>
        <v>86.6</v>
      </c>
      <c r="I41" s="16"/>
      <c r="J41" s="14">
        <f>SUM(J2:J40)</f>
        <v>82.289999999999992</v>
      </c>
      <c r="K41" s="16"/>
      <c r="L41" s="14">
        <f>SUM(L2:L40)</f>
        <v>17.830000000000002</v>
      </c>
      <c r="M41" s="16"/>
      <c r="N41" s="14">
        <f>SUM(N2:N40)</f>
        <v>0.5</v>
      </c>
      <c r="P41" s="24">
        <f>SUM(B41,D41,F41,H41,J41,L41,N41)</f>
        <v>1015.7900000000001</v>
      </c>
    </row>
    <row r="42" spans="1:17" ht="15" thickBot="1" x14ac:dyDescent="0.35">
      <c r="P42" s="25">
        <f>SUM(B9,B10,B11,B19,B22,B24,B27,D19,F4,F5,F10,H3,H4,H7,H14)</f>
        <v>154.92000000000002</v>
      </c>
    </row>
    <row r="43" spans="1:17" ht="15" thickTop="1" x14ac:dyDescent="0.3">
      <c r="P43" s="26">
        <f>P41-P42</f>
        <v>860.87000000000012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76ABC-2AB7-4FCF-9849-B01C2758BD26}">
  <sheetPr codeName="Sheet2"/>
  <dimension ref="A1:Q41"/>
  <sheetViews>
    <sheetView zoomScale="85" zoomScaleNormal="85" workbookViewId="0">
      <selection activeCell="K25" sqref="K25"/>
    </sheetView>
  </sheetViews>
  <sheetFormatPr defaultRowHeight="14.4" x14ac:dyDescent="0.3"/>
  <cols>
    <col min="1" max="1" width="17.88671875" customWidth="1"/>
    <col min="2" max="2" width="9.33203125" customWidth="1"/>
    <col min="3" max="3" width="17.88671875" customWidth="1"/>
    <col min="5" max="5" width="17.88671875" customWidth="1"/>
    <col min="7" max="7" width="17.88671875" customWidth="1"/>
    <col min="9" max="9" width="17.88671875" customWidth="1"/>
    <col min="11" max="11" width="17.88671875" customWidth="1"/>
    <col min="13" max="13" width="17.88671875" customWidth="1"/>
    <col min="16" max="16" width="18.33203125" customWidth="1"/>
    <col min="17" max="17" width="9.5546875" bestFit="1" customWidth="1"/>
  </cols>
  <sheetData>
    <row r="1" spans="1:14" ht="20.399999999999999" thickBot="1" x14ac:dyDescent="0.35">
      <c r="A1" s="1" t="s">
        <v>6</v>
      </c>
      <c r="B1" s="2" t="s">
        <v>1</v>
      </c>
      <c r="C1" s="3" t="s">
        <v>7</v>
      </c>
      <c r="D1" s="17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" thickTop="1" x14ac:dyDescent="0.3">
      <c r="A2" s="5" t="s">
        <v>45</v>
      </c>
      <c r="B2" s="6">
        <v>12</v>
      </c>
      <c r="C2" s="5" t="s">
        <v>40</v>
      </c>
      <c r="D2" s="7">
        <v>11</v>
      </c>
      <c r="E2" s="19" t="s">
        <v>48</v>
      </c>
      <c r="F2" s="6">
        <v>1.5</v>
      </c>
      <c r="G2" s="5" t="s">
        <v>42</v>
      </c>
      <c r="H2" s="6">
        <v>0.25</v>
      </c>
      <c r="I2" s="5" t="s">
        <v>77</v>
      </c>
      <c r="J2" s="6">
        <v>0.2</v>
      </c>
      <c r="K2" s="5" t="s">
        <v>43</v>
      </c>
      <c r="L2" s="6">
        <v>4.2</v>
      </c>
      <c r="M2" s="5" t="s">
        <v>54</v>
      </c>
      <c r="N2" s="6">
        <v>2.25</v>
      </c>
    </row>
    <row r="3" spans="1:14" x14ac:dyDescent="0.3">
      <c r="A3" s="8" t="s">
        <v>47</v>
      </c>
      <c r="B3" s="9">
        <v>2.5</v>
      </c>
      <c r="C3" s="8" t="s">
        <v>41</v>
      </c>
      <c r="D3" s="7">
        <v>0.05</v>
      </c>
      <c r="E3" s="18" t="s">
        <v>52</v>
      </c>
      <c r="F3" s="7">
        <v>3.5</v>
      </c>
      <c r="G3" s="18" t="s">
        <v>57</v>
      </c>
      <c r="H3" s="7">
        <v>50</v>
      </c>
      <c r="I3" s="8" t="s">
        <v>78</v>
      </c>
      <c r="J3" s="7">
        <v>0.5</v>
      </c>
      <c r="K3" s="8" t="s">
        <v>51</v>
      </c>
      <c r="L3" s="7">
        <v>4.5</v>
      </c>
      <c r="M3" s="8" t="s">
        <v>84</v>
      </c>
      <c r="N3" s="7">
        <v>0.15</v>
      </c>
    </row>
    <row r="4" spans="1:14" x14ac:dyDescent="0.3">
      <c r="A4" s="8" t="s">
        <v>49</v>
      </c>
      <c r="B4" s="7">
        <v>0.05</v>
      </c>
      <c r="C4" s="8" t="s">
        <v>42</v>
      </c>
      <c r="D4" s="7">
        <v>0.25</v>
      </c>
      <c r="E4" s="8" t="s">
        <v>59</v>
      </c>
      <c r="F4" s="7">
        <v>0.4</v>
      </c>
      <c r="G4" s="18" t="s">
        <v>98</v>
      </c>
      <c r="H4" s="7">
        <v>0.3</v>
      </c>
      <c r="I4" s="8" t="s">
        <v>89</v>
      </c>
      <c r="J4" s="7">
        <v>4.5</v>
      </c>
      <c r="K4" s="8" t="s">
        <v>55</v>
      </c>
      <c r="L4" s="7">
        <v>0.3</v>
      </c>
      <c r="M4" s="8" t="s">
        <v>115</v>
      </c>
      <c r="N4" s="7">
        <v>4.5</v>
      </c>
    </row>
    <row r="5" spans="1:14" x14ac:dyDescent="0.3">
      <c r="A5" s="8" t="s">
        <v>53</v>
      </c>
      <c r="B5" s="7">
        <v>20</v>
      </c>
      <c r="C5" s="8" t="s">
        <v>44</v>
      </c>
      <c r="D5" s="7">
        <v>1.5</v>
      </c>
      <c r="E5" s="18" t="s">
        <v>87</v>
      </c>
      <c r="F5" s="7">
        <v>2</v>
      </c>
      <c r="G5" s="8" t="s">
        <v>110</v>
      </c>
      <c r="H5" s="7">
        <v>3</v>
      </c>
      <c r="I5" s="8"/>
      <c r="J5" s="7"/>
      <c r="K5" s="8" t="s">
        <v>56</v>
      </c>
      <c r="L5" s="7">
        <v>0.8</v>
      </c>
      <c r="M5" s="8"/>
      <c r="N5" s="7"/>
    </row>
    <row r="6" spans="1:14" x14ac:dyDescent="0.3">
      <c r="A6" s="8" t="s">
        <v>58</v>
      </c>
      <c r="B6" s="7">
        <v>0.15</v>
      </c>
      <c r="C6" s="8" t="s">
        <v>46</v>
      </c>
      <c r="D6" s="7">
        <v>0.1</v>
      </c>
      <c r="E6" s="8" t="s">
        <v>111</v>
      </c>
      <c r="F6" s="7">
        <v>0.3</v>
      </c>
      <c r="G6" s="8" t="s">
        <v>112</v>
      </c>
      <c r="H6" s="7">
        <v>1.75</v>
      </c>
      <c r="I6" s="8"/>
      <c r="J6" s="7"/>
      <c r="K6" s="8" t="s">
        <v>62</v>
      </c>
      <c r="L6" s="7">
        <v>0.1</v>
      </c>
      <c r="M6" s="8"/>
      <c r="N6" s="7"/>
    </row>
    <row r="7" spans="1:14" x14ac:dyDescent="0.3">
      <c r="A7" s="8" t="s">
        <v>60</v>
      </c>
      <c r="B7" s="7">
        <v>0.1</v>
      </c>
      <c r="C7" s="8" t="s">
        <v>50</v>
      </c>
      <c r="D7" s="7">
        <v>20</v>
      </c>
      <c r="E7" s="8"/>
      <c r="F7" s="7"/>
      <c r="G7" s="8"/>
      <c r="H7" s="7"/>
      <c r="I7" s="8"/>
      <c r="J7" s="7"/>
      <c r="K7" s="8" t="s">
        <v>64</v>
      </c>
      <c r="L7" s="7">
        <v>1</v>
      </c>
      <c r="M7" s="8"/>
      <c r="N7" s="7"/>
    </row>
    <row r="8" spans="1:14" x14ac:dyDescent="0.3">
      <c r="A8" s="8" t="s">
        <v>63</v>
      </c>
      <c r="B8" s="7">
        <v>7</v>
      </c>
      <c r="C8" s="8" t="s">
        <v>61</v>
      </c>
      <c r="D8" s="7">
        <v>2.2000000000000002</v>
      </c>
      <c r="E8" s="8"/>
      <c r="F8" s="7"/>
      <c r="G8" s="8"/>
      <c r="H8" s="7"/>
      <c r="I8" s="8"/>
      <c r="J8" s="7"/>
      <c r="K8" s="18" t="s">
        <v>65</v>
      </c>
      <c r="L8" s="7">
        <v>2.85</v>
      </c>
      <c r="M8" s="8"/>
      <c r="N8" s="7"/>
    </row>
    <row r="9" spans="1:14" x14ac:dyDescent="0.3">
      <c r="A9" s="8" t="s">
        <v>3</v>
      </c>
      <c r="B9" s="7">
        <v>17.5</v>
      </c>
      <c r="C9" s="8" t="s">
        <v>72</v>
      </c>
      <c r="D9" s="7">
        <v>2.2999999999999998</v>
      </c>
      <c r="E9" s="8"/>
      <c r="F9" s="7"/>
      <c r="G9" s="8"/>
      <c r="H9" s="7"/>
      <c r="I9" s="8"/>
      <c r="J9" s="7"/>
      <c r="K9" s="18" t="s">
        <v>71</v>
      </c>
      <c r="L9" s="7">
        <v>0.1</v>
      </c>
      <c r="M9" s="8"/>
      <c r="N9" s="7"/>
    </row>
    <row r="10" spans="1:14" x14ac:dyDescent="0.3">
      <c r="A10" s="8" t="s">
        <v>66</v>
      </c>
      <c r="B10" s="7">
        <v>0.4</v>
      </c>
      <c r="C10" s="8" t="s">
        <v>73</v>
      </c>
      <c r="D10" s="7">
        <v>22.5</v>
      </c>
      <c r="E10" s="8"/>
      <c r="F10" s="7"/>
      <c r="G10" s="8"/>
      <c r="H10" s="7"/>
      <c r="I10" s="8"/>
      <c r="J10" s="7"/>
      <c r="K10" s="8" t="s">
        <v>75</v>
      </c>
      <c r="L10" s="7">
        <v>3.5</v>
      </c>
      <c r="M10" s="8"/>
      <c r="N10" s="7"/>
    </row>
    <row r="11" spans="1:14" x14ac:dyDescent="0.3">
      <c r="A11" s="8" t="s">
        <v>67</v>
      </c>
      <c r="B11" s="7">
        <v>0.1</v>
      </c>
      <c r="C11" s="8" t="s">
        <v>74</v>
      </c>
      <c r="D11" s="7">
        <v>0.2</v>
      </c>
      <c r="E11" s="8"/>
      <c r="F11" s="7"/>
      <c r="G11" s="8"/>
      <c r="H11" s="7"/>
      <c r="I11" s="8"/>
      <c r="J11" s="7"/>
      <c r="K11" s="18" t="s">
        <v>76</v>
      </c>
      <c r="L11" s="7">
        <v>0.5</v>
      </c>
      <c r="M11" s="8"/>
      <c r="N11" s="7"/>
    </row>
    <row r="12" spans="1:14" x14ac:dyDescent="0.3">
      <c r="A12" s="8" t="s">
        <v>68</v>
      </c>
      <c r="B12" s="7">
        <v>0.8</v>
      </c>
      <c r="C12" s="18" t="s">
        <v>39</v>
      </c>
      <c r="D12" s="7">
        <v>2.5</v>
      </c>
      <c r="E12" s="8"/>
      <c r="F12" s="7"/>
      <c r="G12" s="8"/>
      <c r="H12" s="7"/>
      <c r="I12" s="8"/>
      <c r="J12" s="7"/>
      <c r="K12" s="8" t="s">
        <v>80</v>
      </c>
      <c r="L12" s="7">
        <v>4</v>
      </c>
      <c r="M12" s="8"/>
      <c r="N12" s="7"/>
    </row>
    <row r="13" spans="1:14" x14ac:dyDescent="0.3">
      <c r="A13" s="8" t="s">
        <v>66</v>
      </c>
      <c r="B13" s="7">
        <v>0.1</v>
      </c>
      <c r="C13" s="8" t="s">
        <v>81</v>
      </c>
      <c r="D13" s="7">
        <v>0.35</v>
      </c>
      <c r="E13" s="8"/>
      <c r="F13" s="7"/>
      <c r="G13" s="8"/>
      <c r="H13" s="7"/>
      <c r="I13" s="8"/>
      <c r="J13" s="7"/>
      <c r="K13" s="8" t="s">
        <v>85</v>
      </c>
      <c r="L13" s="7">
        <v>11.5</v>
      </c>
      <c r="M13" s="8"/>
      <c r="N13" s="7"/>
    </row>
    <row r="14" spans="1:14" x14ac:dyDescent="0.3">
      <c r="A14" s="8" t="s">
        <v>69</v>
      </c>
      <c r="B14" s="7">
        <v>11</v>
      </c>
      <c r="C14" s="18" t="s">
        <v>100</v>
      </c>
      <c r="D14" s="7">
        <v>4</v>
      </c>
      <c r="E14" s="8"/>
      <c r="F14" s="7"/>
      <c r="G14" s="8"/>
      <c r="H14" s="7"/>
      <c r="I14" s="8"/>
      <c r="J14" s="7"/>
      <c r="K14" s="8" t="s">
        <v>86</v>
      </c>
      <c r="L14" s="7">
        <v>6.9</v>
      </c>
      <c r="M14" s="8"/>
      <c r="N14" s="7"/>
    </row>
    <row r="15" spans="1:14" x14ac:dyDescent="0.3">
      <c r="A15" s="8" t="s">
        <v>70</v>
      </c>
      <c r="B15" s="7">
        <v>0.1</v>
      </c>
      <c r="C15" s="8" t="s">
        <v>106</v>
      </c>
      <c r="D15" s="7">
        <v>0.6</v>
      </c>
      <c r="E15" s="8"/>
      <c r="F15" s="7"/>
      <c r="G15" s="8"/>
      <c r="H15" s="7"/>
      <c r="I15" s="8"/>
      <c r="J15" s="7"/>
      <c r="K15" s="8" t="s">
        <v>94</v>
      </c>
      <c r="L15" s="7">
        <v>0.5</v>
      </c>
      <c r="M15" s="8"/>
      <c r="N15" s="7"/>
    </row>
    <row r="16" spans="1:14" x14ac:dyDescent="0.3">
      <c r="A16" s="8" t="s">
        <v>79</v>
      </c>
      <c r="B16" s="7">
        <v>0.1</v>
      </c>
      <c r="C16" s="8" t="s">
        <v>107</v>
      </c>
      <c r="D16" s="7">
        <v>0.1</v>
      </c>
      <c r="E16" s="8"/>
      <c r="F16" s="7"/>
      <c r="G16" s="8"/>
      <c r="H16" s="7"/>
      <c r="I16" s="8"/>
      <c r="J16" s="7"/>
      <c r="K16" s="18" t="s">
        <v>95</v>
      </c>
      <c r="L16" s="7">
        <v>5</v>
      </c>
      <c r="M16" s="8"/>
      <c r="N16" s="7"/>
    </row>
    <row r="17" spans="1:14" x14ac:dyDescent="0.3">
      <c r="A17" s="8" t="s">
        <v>82</v>
      </c>
      <c r="B17" s="7">
        <v>8.6999999999999993</v>
      </c>
      <c r="C17" s="8" t="s">
        <v>117</v>
      </c>
      <c r="D17" s="7">
        <v>0.4</v>
      </c>
      <c r="E17" s="8"/>
      <c r="F17" s="7"/>
      <c r="G17" s="8"/>
      <c r="H17" s="7"/>
      <c r="I17" s="8"/>
      <c r="J17" s="7"/>
      <c r="K17" s="18" t="s">
        <v>97</v>
      </c>
      <c r="L17" s="7">
        <v>0.15</v>
      </c>
      <c r="M17" s="8"/>
      <c r="N17" s="7"/>
    </row>
    <row r="18" spans="1:14" x14ac:dyDescent="0.3">
      <c r="A18" s="18" t="s">
        <v>83</v>
      </c>
      <c r="B18" s="7">
        <v>4</v>
      </c>
      <c r="C18" s="8"/>
      <c r="D18" s="7"/>
      <c r="E18" s="8"/>
      <c r="F18" s="7"/>
      <c r="G18" s="8"/>
      <c r="H18" s="7"/>
      <c r="I18" s="8"/>
      <c r="J18" s="7"/>
      <c r="K18" s="8" t="s">
        <v>103</v>
      </c>
      <c r="L18" s="7">
        <v>0.1</v>
      </c>
      <c r="M18" s="8"/>
      <c r="N18" s="7"/>
    </row>
    <row r="19" spans="1:14" x14ac:dyDescent="0.3">
      <c r="A19" s="8" t="s">
        <v>88</v>
      </c>
      <c r="B19" s="7">
        <v>3</v>
      </c>
      <c r="C19" s="8"/>
      <c r="D19" s="7"/>
      <c r="E19" s="8"/>
      <c r="F19" s="7"/>
      <c r="G19" s="8"/>
      <c r="H19" s="7"/>
      <c r="I19" s="8"/>
      <c r="J19" s="7"/>
      <c r="K19" s="8" t="s">
        <v>113</v>
      </c>
      <c r="L19" s="7">
        <v>2</v>
      </c>
      <c r="M19" s="8"/>
      <c r="N19" s="7"/>
    </row>
    <row r="20" spans="1:14" x14ac:dyDescent="0.3">
      <c r="A20" t="s">
        <v>90</v>
      </c>
      <c r="B20" s="6">
        <v>0.7</v>
      </c>
      <c r="C20" s="8"/>
      <c r="D20" s="7"/>
      <c r="E20" s="8"/>
      <c r="F20" s="7"/>
      <c r="G20" s="8"/>
      <c r="H20" s="7"/>
      <c r="I20" s="8"/>
      <c r="J20" s="7"/>
      <c r="K20" s="8" t="s">
        <v>118</v>
      </c>
      <c r="L20" s="7">
        <v>6</v>
      </c>
      <c r="M20" s="8"/>
      <c r="N20" s="7"/>
    </row>
    <row r="21" spans="1:14" x14ac:dyDescent="0.3">
      <c r="A21" s="8" t="s">
        <v>17</v>
      </c>
      <c r="B21" s="7">
        <v>0.05</v>
      </c>
      <c r="C21" s="8"/>
      <c r="D21" s="7"/>
      <c r="E21" s="8"/>
      <c r="F21" s="7"/>
      <c r="G21" s="8"/>
      <c r="H21" s="7"/>
      <c r="I21" s="8"/>
      <c r="J21" s="7"/>
      <c r="K21" s="8"/>
      <c r="L21" s="7"/>
      <c r="M21" s="8"/>
      <c r="N21" s="7"/>
    </row>
    <row r="22" spans="1:14" x14ac:dyDescent="0.3">
      <c r="A22" s="8" t="s">
        <v>91</v>
      </c>
      <c r="B22" s="7">
        <v>17.5</v>
      </c>
      <c r="C22" s="8"/>
      <c r="D22" s="7"/>
      <c r="E22" s="8"/>
      <c r="F22" s="7"/>
      <c r="G22" s="8"/>
      <c r="H22" s="7"/>
      <c r="I22" s="8"/>
      <c r="J22" s="7"/>
      <c r="K22" s="8"/>
      <c r="L22" s="7"/>
      <c r="M22" s="8"/>
      <c r="N22" s="7"/>
    </row>
    <row r="23" spans="1:14" x14ac:dyDescent="0.3">
      <c r="A23" s="8" t="s">
        <v>92</v>
      </c>
      <c r="B23" s="7">
        <v>0.15</v>
      </c>
      <c r="C23" s="8"/>
      <c r="D23" s="7"/>
      <c r="E23" s="8"/>
      <c r="F23" s="7"/>
      <c r="G23" s="8"/>
      <c r="H23" s="7"/>
      <c r="I23" s="8"/>
      <c r="J23" s="7"/>
      <c r="K23" s="8"/>
      <c r="L23" s="7"/>
      <c r="M23" s="8"/>
      <c r="N23" s="7"/>
    </row>
    <row r="24" spans="1:14" x14ac:dyDescent="0.3">
      <c r="A24" s="8" t="s">
        <v>93</v>
      </c>
      <c r="B24" s="7">
        <v>13</v>
      </c>
      <c r="C24" s="8"/>
      <c r="D24" s="7"/>
      <c r="E24" s="8"/>
      <c r="F24" s="7"/>
      <c r="G24" s="8"/>
      <c r="H24" s="7"/>
      <c r="I24" s="8"/>
      <c r="J24" s="7"/>
      <c r="K24" s="8"/>
      <c r="L24" s="7"/>
      <c r="M24" s="8"/>
      <c r="N24" s="7"/>
    </row>
    <row r="25" spans="1:14" x14ac:dyDescent="0.3">
      <c r="A25" s="8" t="s">
        <v>96</v>
      </c>
      <c r="B25" s="7">
        <v>3.5</v>
      </c>
      <c r="C25" s="8"/>
      <c r="D25" s="7"/>
      <c r="E25" s="8"/>
      <c r="F25" s="7"/>
      <c r="G25" s="8"/>
      <c r="H25" s="7"/>
      <c r="I25" s="8"/>
      <c r="J25" s="7"/>
      <c r="K25" s="8"/>
      <c r="L25" s="7"/>
      <c r="M25" s="8"/>
      <c r="N25" s="7"/>
    </row>
    <row r="26" spans="1:14" x14ac:dyDescent="0.3">
      <c r="A26" s="8" t="s">
        <v>99</v>
      </c>
      <c r="B26" s="7">
        <v>1</v>
      </c>
      <c r="C26" s="8"/>
      <c r="D26" s="7"/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3">
      <c r="A27" s="8" t="s">
        <v>101</v>
      </c>
      <c r="B27" s="7">
        <v>4</v>
      </c>
      <c r="C27" s="8"/>
      <c r="D27" s="7"/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3">
      <c r="A28" s="18" t="s">
        <v>102</v>
      </c>
      <c r="B28" s="7">
        <v>10</v>
      </c>
      <c r="C28" s="8"/>
      <c r="D28" s="7"/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3">
      <c r="A29" s="8" t="s">
        <v>104</v>
      </c>
      <c r="B29" s="7">
        <v>0.05</v>
      </c>
      <c r="C29" s="8"/>
      <c r="D29" s="7"/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3">
      <c r="A30" s="8" t="s">
        <v>5</v>
      </c>
      <c r="B30" s="7">
        <v>16.600000000000001</v>
      </c>
      <c r="C30" s="8"/>
      <c r="D30" s="7"/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3">
      <c r="A31" s="18" t="s">
        <v>105</v>
      </c>
      <c r="B31" s="7">
        <v>0.05</v>
      </c>
      <c r="C31" s="8"/>
      <c r="D31" s="7"/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3">
      <c r="A32" s="8" t="s">
        <v>25</v>
      </c>
      <c r="B32" s="7">
        <v>1</v>
      </c>
      <c r="C32" s="8"/>
      <c r="D32" s="7"/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3">
      <c r="A33" s="18" t="s">
        <v>108</v>
      </c>
      <c r="B33" s="7">
        <v>117.9</v>
      </c>
      <c r="C33" s="8"/>
      <c r="D33" s="7"/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3">
      <c r="A34" s="18" t="s">
        <v>109</v>
      </c>
      <c r="B34" s="7">
        <v>4</v>
      </c>
      <c r="C34" s="8"/>
      <c r="D34" s="7"/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3">
      <c r="A35" s="8" t="s">
        <v>114</v>
      </c>
      <c r="B35" s="7">
        <v>250</v>
      </c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3">
      <c r="A36" s="8" t="s">
        <v>116</v>
      </c>
      <c r="B36" s="7">
        <v>0.1</v>
      </c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3">
      <c r="A37" s="8"/>
      <c r="B37" s="7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399999999999999" x14ac:dyDescent="0.3">
      <c r="A38" s="8"/>
      <c r="B38" s="7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22">
        <f>(Q39-COUNTA(A33:A34,A31,A28,A18,C14,C12,E5,E2:E3,G3:G4,K8:K9,K11,K16:K17))/Q39*100</f>
        <v>80.232558139534888</v>
      </c>
    </row>
    <row r="39" spans="1:17" ht="17.399999999999999" x14ac:dyDescent="0.3">
      <c r="A39" s="8"/>
      <c r="B39" s="10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COUNTA(A2:A40,C2:C40,E2:E40,G2:G40,I2:I40,K2:K40,M2:M40)</f>
        <v>86</v>
      </c>
    </row>
    <row r="40" spans="1:17" ht="15" thickBot="1" x14ac:dyDescent="0.35">
      <c r="A40" s="11"/>
      <c r="B40" s="12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5.8" x14ac:dyDescent="0.3">
      <c r="A41" s="16"/>
      <c r="B41" s="14">
        <f>SUM(B2:B40)</f>
        <v>527.20000000000005</v>
      </c>
      <c r="C41" s="16"/>
      <c r="D41" s="14">
        <f>SUM(D2:D40)</f>
        <v>68.05</v>
      </c>
      <c r="E41" s="16"/>
      <c r="F41" s="14">
        <f>SUM(F2:F40)</f>
        <v>7.7</v>
      </c>
      <c r="G41" s="16"/>
      <c r="H41" s="14">
        <f>SUM(H2:H40)</f>
        <v>55.3</v>
      </c>
      <c r="I41" s="16"/>
      <c r="J41" s="14">
        <f>SUM(J2:J40)</f>
        <v>5.2</v>
      </c>
      <c r="K41" s="16"/>
      <c r="L41" s="14">
        <f>SUM(L2:L40)</f>
        <v>54</v>
      </c>
      <c r="M41" s="16"/>
      <c r="N41" s="14">
        <f>SUM(N2:N40)</f>
        <v>6.9</v>
      </c>
      <c r="P41" s="15">
        <f>SUM(B41,D41,F41,H41,J41,L41,N41)</f>
        <v>724.35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09E3-2E53-4539-A1DE-9EB930476689}">
  <sheetPr codeName="Sheet4"/>
  <dimension ref="A1:Q43"/>
  <sheetViews>
    <sheetView zoomScale="85" zoomScaleNormal="85" workbookViewId="0">
      <selection activeCell="Q17" sqref="Q17"/>
    </sheetView>
  </sheetViews>
  <sheetFormatPr defaultRowHeight="14.4" x14ac:dyDescent="0.3"/>
  <cols>
    <col min="1" max="1" width="17.88671875" customWidth="1"/>
    <col min="2" max="2" width="9.33203125" customWidth="1"/>
    <col min="3" max="3" width="17.88671875" customWidth="1"/>
    <col min="5" max="5" width="17.88671875" customWidth="1"/>
    <col min="7" max="7" width="17.88671875" customWidth="1"/>
    <col min="9" max="9" width="17.88671875" customWidth="1"/>
    <col min="11" max="11" width="17.88671875" customWidth="1"/>
    <col min="13" max="13" width="17.88671875" customWidth="1"/>
    <col min="16" max="16" width="18.33203125" customWidth="1"/>
    <col min="17" max="17" width="9.5546875" bestFit="1" customWidth="1"/>
  </cols>
  <sheetData>
    <row r="1" spans="1:14" ht="20.399999999999999" thickBot="1" x14ac:dyDescent="0.35">
      <c r="A1" s="1" t="s">
        <v>6</v>
      </c>
      <c r="B1" s="2" t="s">
        <v>1</v>
      </c>
      <c r="C1" s="3" t="s">
        <v>7</v>
      </c>
      <c r="D1" s="4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" thickTop="1" x14ac:dyDescent="0.3">
      <c r="A2" s="5" t="s">
        <v>66</v>
      </c>
      <c r="B2" s="6">
        <v>0.1</v>
      </c>
      <c r="C2" s="5" t="s">
        <v>245</v>
      </c>
      <c r="D2" s="7">
        <v>6.44</v>
      </c>
      <c r="E2" s="5" t="s">
        <v>251</v>
      </c>
      <c r="F2" s="6">
        <v>0.05</v>
      </c>
      <c r="G2" s="5" t="s">
        <v>249</v>
      </c>
      <c r="H2" s="6">
        <v>0.05</v>
      </c>
      <c r="I2" s="5" t="s">
        <v>246</v>
      </c>
      <c r="J2" s="6">
        <v>0.3</v>
      </c>
      <c r="K2" s="19" t="s">
        <v>183</v>
      </c>
      <c r="L2" s="6">
        <v>0.19</v>
      </c>
      <c r="M2" s="5"/>
      <c r="N2" s="6"/>
    </row>
    <row r="3" spans="1:14" x14ac:dyDescent="0.3">
      <c r="A3" s="8" t="s">
        <v>66</v>
      </c>
      <c r="B3" s="7">
        <v>0.1</v>
      </c>
      <c r="C3" s="8" t="s">
        <v>247</v>
      </c>
      <c r="D3" s="7">
        <v>6.19</v>
      </c>
      <c r="E3" s="18" t="s">
        <v>254</v>
      </c>
      <c r="F3" s="7">
        <v>6.5</v>
      </c>
      <c r="G3" s="27" t="s">
        <v>264</v>
      </c>
      <c r="H3" s="7">
        <v>0.2</v>
      </c>
      <c r="I3" s="8" t="s">
        <v>257</v>
      </c>
      <c r="J3" s="7">
        <v>0.06</v>
      </c>
      <c r="K3" s="18" t="s">
        <v>270</v>
      </c>
      <c r="L3" s="7">
        <v>15</v>
      </c>
      <c r="M3" s="8"/>
      <c r="N3" s="7"/>
    </row>
    <row r="4" spans="1:14" x14ac:dyDescent="0.3">
      <c r="A4" s="8" t="s">
        <v>66</v>
      </c>
      <c r="B4" s="7">
        <v>0.1</v>
      </c>
      <c r="C4" s="8" t="s">
        <v>248</v>
      </c>
      <c r="D4" s="7">
        <v>0.02</v>
      </c>
      <c r="E4" s="32" t="s">
        <v>256</v>
      </c>
      <c r="F4" s="7">
        <v>4</v>
      </c>
      <c r="G4" s="27" t="s">
        <v>269</v>
      </c>
      <c r="H4" s="7">
        <v>0.1</v>
      </c>
      <c r="I4" s="18" t="s">
        <v>261</v>
      </c>
      <c r="J4" s="7">
        <v>4.6100000000000003</v>
      </c>
      <c r="K4" s="18" t="s">
        <v>282</v>
      </c>
      <c r="L4" s="7">
        <v>0.4</v>
      </c>
      <c r="M4" s="8"/>
      <c r="N4" s="7"/>
    </row>
    <row r="5" spans="1:14" x14ac:dyDescent="0.3">
      <c r="A5" s="8" t="s">
        <v>66</v>
      </c>
      <c r="B5" s="7">
        <v>0.1</v>
      </c>
      <c r="C5" s="18" t="s">
        <v>39</v>
      </c>
      <c r="D5" s="7">
        <v>3.3</v>
      </c>
      <c r="E5" s="32" t="s">
        <v>259</v>
      </c>
      <c r="F5" s="7">
        <v>0.2</v>
      </c>
      <c r="G5" s="18" t="s">
        <v>279</v>
      </c>
      <c r="H5" s="7">
        <v>0.09</v>
      </c>
      <c r="I5" s="8" t="s">
        <v>262</v>
      </c>
      <c r="J5" s="7">
        <v>0.02</v>
      </c>
      <c r="K5" s="18" t="s">
        <v>292</v>
      </c>
      <c r="L5" s="7">
        <v>0.39</v>
      </c>
      <c r="M5" s="8"/>
      <c r="N5" s="7"/>
    </row>
    <row r="6" spans="1:14" x14ac:dyDescent="0.3">
      <c r="A6" s="8" t="s">
        <v>66</v>
      </c>
      <c r="B6" s="7">
        <v>0.1</v>
      </c>
      <c r="C6" s="18" t="s">
        <v>250</v>
      </c>
      <c r="D6" s="7">
        <v>0.35</v>
      </c>
      <c r="E6" s="8" t="s">
        <v>272</v>
      </c>
      <c r="F6" s="7">
        <v>0.15</v>
      </c>
      <c r="G6" s="8" t="s">
        <v>298</v>
      </c>
      <c r="H6" s="7">
        <v>0.1</v>
      </c>
      <c r="I6" s="8" t="s">
        <v>265</v>
      </c>
      <c r="J6" s="7">
        <v>0.49</v>
      </c>
      <c r="K6" s="8" t="s">
        <v>32</v>
      </c>
      <c r="L6" s="7">
        <v>1.95</v>
      </c>
      <c r="M6" s="8"/>
      <c r="N6" s="7"/>
    </row>
    <row r="7" spans="1:14" x14ac:dyDescent="0.3">
      <c r="A7" s="8" t="s">
        <v>66</v>
      </c>
      <c r="B7" s="7">
        <v>0.1</v>
      </c>
      <c r="C7" s="8" t="s">
        <v>252</v>
      </c>
      <c r="D7" s="7">
        <v>2.75</v>
      </c>
      <c r="E7" s="8" t="s">
        <v>278</v>
      </c>
      <c r="F7" s="7">
        <v>0.5</v>
      </c>
      <c r="G7" s="32" t="s">
        <v>300</v>
      </c>
      <c r="H7" s="7">
        <v>0.5</v>
      </c>
      <c r="I7" s="8" t="s">
        <v>268</v>
      </c>
      <c r="J7" s="7">
        <v>2.65</v>
      </c>
      <c r="K7" s="18" t="s">
        <v>65</v>
      </c>
      <c r="L7" s="7">
        <v>2.75</v>
      </c>
      <c r="M7" s="8"/>
      <c r="N7" s="7"/>
    </row>
    <row r="8" spans="1:14" x14ac:dyDescent="0.3">
      <c r="A8" s="8" t="s">
        <v>66</v>
      </c>
      <c r="B8" s="7">
        <v>0.1</v>
      </c>
      <c r="C8" s="8" t="s">
        <v>253</v>
      </c>
      <c r="D8" s="7">
        <v>0.1</v>
      </c>
      <c r="E8" s="18" t="s">
        <v>286</v>
      </c>
      <c r="F8" s="7">
        <v>0.5</v>
      </c>
      <c r="G8" s="8" t="s">
        <v>307</v>
      </c>
      <c r="H8" s="7">
        <v>0.4</v>
      </c>
      <c r="I8" s="8" t="s">
        <v>271</v>
      </c>
      <c r="J8" s="7">
        <v>1.3</v>
      </c>
      <c r="K8" s="8"/>
      <c r="L8" s="7"/>
      <c r="M8" s="8"/>
      <c r="N8" s="7"/>
    </row>
    <row r="9" spans="1:14" x14ac:dyDescent="0.3">
      <c r="A9" s="27" t="s">
        <v>66</v>
      </c>
      <c r="B9" s="7">
        <v>0.1</v>
      </c>
      <c r="C9" s="8" t="s">
        <v>255</v>
      </c>
      <c r="D9" s="7">
        <v>0.02</v>
      </c>
      <c r="E9" s="8" t="s">
        <v>288</v>
      </c>
      <c r="F9" s="7">
        <v>1.99</v>
      </c>
      <c r="G9" s="8"/>
      <c r="H9" s="7"/>
      <c r="I9" s="18" t="s">
        <v>285</v>
      </c>
      <c r="J9" s="7">
        <v>6</v>
      </c>
      <c r="K9" s="8"/>
      <c r="L9" s="7"/>
      <c r="M9" s="8"/>
      <c r="N9" s="7"/>
    </row>
    <row r="10" spans="1:14" x14ac:dyDescent="0.3">
      <c r="A10" s="27" t="s">
        <v>66</v>
      </c>
      <c r="B10" s="7">
        <v>0.1</v>
      </c>
      <c r="C10" s="8" t="s">
        <v>260</v>
      </c>
      <c r="D10" s="7">
        <v>0.02</v>
      </c>
      <c r="E10" s="27" t="s">
        <v>289</v>
      </c>
      <c r="F10" s="7">
        <v>0.1</v>
      </c>
      <c r="G10" s="8"/>
      <c r="H10" s="7"/>
      <c r="I10" s="8" t="s">
        <v>287</v>
      </c>
      <c r="J10" s="7">
        <v>0.1</v>
      </c>
      <c r="K10" s="8"/>
      <c r="L10" s="7"/>
      <c r="M10" s="8"/>
      <c r="N10" s="7"/>
    </row>
    <row r="11" spans="1:14" x14ac:dyDescent="0.3">
      <c r="A11" s="27" t="s">
        <v>258</v>
      </c>
      <c r="B11" s="7">
        <v>0.5</v>
      </c>
      <c r="C11" s="8" t="s">
        <v>263</v>
      </c>
      <c r="D11" s="7">
        <v>0.3</v>
      </c>
      <c r="E11" s="8" t="s">
        <v>291</v>
      </c>
      <c r="F11" s="7">
        <v>0.3</v>
      </c>
      <c r="G11" s="8"/>
      <c r="H11" s="7"/>
      <c r="I11" s="8"/>
      <c r="J11" s="7"/>
      <c r="K11" s="8"/>
      <c r="L11" s="7"/>
      <c r="M11" s="8"/>
      <c r="N11" s="7"/>
    </row>
    <row r="12" spans="1:14" x14ac:dyDescent="0.3">
      <c r="A12" s="8" t="s">
        <v>66</v>
      </c>
      <c r="B12" s="7">
        <v>0.1</v>
      </c>
      <c r="C12" s="8" t="s">
        <v>266</v>
      </c>
      <c r="D12" s="7">
        <v>0.02</v>
      </c>
      <c r="E12" s="8" t="s">
        <v>295</v>
      </c>
      <c r="F12" s="7">
        <v>0.02</v>
      </c>
      <c r="G12" s="8"/>
      <c r="H12" s="7"/>
      <c r="I12" s="8"/>
      <c r="J12" s="7"/>
      <c r="K12" s="8"/>
      <c r="L12" s="7"/>
      <c r="M12" s="8"/>
      <c r="N12" s="7"/>
    </row>
    <row r="13" spans="1:14" x14ac:dyDescent="0.3">
      <c r="A13" s="8" t="s">
        <v>66</v>
      </c>
      <c r="B13" s="7">
        <v>0.1</v>
      </c>
      <c r="C13" s="8" t="s">
        <v>267</v>
      </c>
      <c r="D13" s="7">
        <v>0.17</v>
      </c>
      <c r="E13" s="8" t="s">
        <v>297</v>
      </c>
      <c r="F13" s="7">
        <v>0.39</v>
      </c>
      <c r="G13" s="8"/>
      <c r="H13" s="7"/>
      <c r="I13" s="8"/>
      <c r="J13" s="7"/>
      <c r="K13" s="8"/>
      <c r="L13" s="7"/>
      <c r="M13" s="8"/>
      <c r="N13" s="7"/>
    </row>
    <row r="14" spans="1:14" x14ac:dyDescent="0.3">
      <c r="A14" s="8" t="s">
        <v>66</v>
      </c>
      <c r="B14" s="7">
        <v>0.1</v>
      </c>
      <c r="C14" s="8" t="s">
        <v>273</v>
      </c>
      <c r="D14" s="7">
        <v>0.1</v>
      </c>
      <c r="E14" s="8" t="s">
        <v>303</v>
      </c>
      <c r="F14" s="7">
        <v>0.75</v>
      </c>
      <c r="G14" s="27"/>
      <c r="H14" s="7"/>
      <c r="I14" s="8"/>
      <c r="J14" s="7"/>
      <c r="K14" s="8"/>
      <c r="L14" s="7"/>
      <c r="M14" s="8"/>
      <c r="N14" s="7"/>
    </row>
    <row r="15" spans="1:14" x14ac:dyDescent="0.3">
      <c r="A15" s="8" t="s">
        <v>66</v>
      </c>
      <c r="B15" s="7">
        <v>0.1</v>
      </c>
      <c r="C15" s="8" t="s">
        <v>274</v>
      </c>
      <c r="D15" s="7">
        <v>0.45</v>
      </c>
      <c r="E15" s="8"/>
      <c r="F15" s="7"/>
      <c r="G15" s="8"/>
      <c r="H15" s="7"/>
      <c r="I15" s="8"/>
      <c r="J15" s="7"/>
      <c r="K15" s="8"/>
      <c r="L15" s="7"/>
      <c r="M15" s="8"/>
      <c r="N15" s="7"/>
    </row>
    <row r="16" spans="1:14" x14ac:dyDescent="0.3">
      <c r="A16" s="8" t="s">
        <v>66</v>
      </c>
      <c r="B16" s="7">
        <v>0.1</v>
      </c>
      <c r="C16" s="8" t="s">
        <v>275</v>
      </c>
      <c r="D16" s="7">
        <v>0.2</v>
      </c>
      <c r="E16" s="8"/>
      <c r="F16" s="7"/>
      <c r="G16" s="8"/>
      <c r="H16" s="7"/>
      <c r="I16" s="8"/>
      <c r="J16" s="7"/>
      <c r="K16" s="8"/>
      <c r="L16" s="7"/>
      <c r="M16" s="8"/>
      <c r="N16" s="7"/>
    </row>
    <row r="17" spans="1:14" x14ac:dyDescent="0.3">
      <c r="A17" s="8" t="s">
        <v>66</v>
      </c>
      <c r="B17" s="7">
        <v>0.1</v>
      </c>
      <c r="C17" s="8" t="s">
        <v>276</v>
      </c>
      <c r="D17" s="7">
        <v>0.2</v>
      </c>
      <c r="E17" s="8"/>
      <c r="F17" s="7"/>
      <c r="G17" s="8"/>
      <c r="H17" s="7"/>
      <c r="I17" s="8"/>
      <c r="J17" s="7"/>
      <c r="K17" s="8"/>
      <c r="L17" s="7"/>
      <c r="M17" s="8"/>
      <c r="N17" s="7"/>
    </row>
    <row r="18" spans="1:14" x14ac:dyDescent="0.3">
      <c r="A18" s="8" t="s">
        <v>66</v>
      </c>
      <c r="B18" s="7">
        <v>0.1</v>
      </c>
      <c r="C18" s="8" t="s">
        <v>277</v>
      </c>
      <c r="D18" s="7">
        <v>2.4900000000000002</v>
      </c>
      <c r="E18" s="8"/>
      <c r="F18" s="7"/>
      <c r="G18" s="8"/>
      <c r="H18" s="7"/>
      <c r="I18" s="8"/>
      <c r="J18" s="7"/>
      <c r="K18" s="8"/>
      <c r="L18" s="7"/>
      <c r="M18" s="8"/>
      <c r="N18" s="7"/>
    </row>
    <row r="19" spans="1:14" x14ac:dyDescent="0.3">
      <c r="A19" s="27" t="s">
        <v>66</v>
      </c>
      <c r="B19" s="6">
        <v>0.1</v>
      </c>
      <c r="C19" s="27" t="s">
        <v>280</v>
      </c>
      <c r="D19" s="7">
        <v>0.49</v>
      </c>
      <c r="E19" s="8"/>
      <c r="F19" s="7"/>
      <c r="G19" s="8"/>
      <c r="H19" s="7"/>
      <c r="I19" s="8"/>
      <c r="J19" s="7"/>
      <c r="K19" s="8"/>
      <c r="L19" s="7"/>
      <c r="M19" s="8"/>
      <c r="N19" s="7"/>
    </row>
    <row r="20" spans="1:14" x14ac:dyDescent="0.3">
      <c r="A20" s="8" t="s">
        <v>66</v>
      </c>
      <c r="B20" s="7">
        <v>0.1</v>
      </c>
      <c r="C20" s="8" t="s">
        <v>281</v>
      </c>
      <c r="D20" s="7">
        <v>0.1</v>
      </c>
      <c r="E20" s="8"/>
      <c r="F20" s="7"/>
      <c r="G20" s="8"/>
      <c r="H20" s="7"/>
      <c r="I20" s="8"/>
      <c r="J20" s="7"/>
      <c r="K20" s="8"/>
      <c r="L20" s="7"/>
      <c r="M20" s="8"/>
      <c r="N20" s="7"/>
    </row>
    <row r="21" spans="1:14" x14ac:dyDescent="0.3">
      <c r="A21" s="8" t="s">
        <v>66</v>
      </c>
      <c r="B21" s="7">
        <v>0.1</v>
      </c>
      <c r="C21" s="8" t="s">
        <v>283</v>
      </c>
      <c r="D21" s="7">
        <v>0.02</v>
      </c>
      <c r="E21" s="8"/>
      <c r="F21" s="7"/>
      <c r="G21" s="8"/>
      <c r="H21" s="7"/>
      <c r="I21" s="8"/>
      <c r="J21" s="7"/>
      <c r="K21" s="8"/>
      <c r="L21" s="7"/>
      <c r="M21" s="8"/>
      <c r="N21" s="7"/>
    </row>
    <row r="22" spans="1:14" x14ac:dyDescent="0.3">
      <c r="A22" s="27" t="s">
        <v>66</v>
      </c>
      <c r="B22" s="7">
        <v>0.1</v>
      </c>
      <c r="C22" s="8" t="s">
        <v>284</v>
      </c>
      <c r="D22" s="7">
        <v>1.49</v>
      </c>
      <c r="E22" s="8"/>
      <c r="F22" s="7"/>
      <c r="G22" s="8"/>
      <c r="H22" s="7"/>
      <c r="I22" s="8"/>
      <c r="J22" s="7"/>
      <c r="K22" s="8"/>
      <c r="L22" s="7"/>
      <c r="M22" s="8"/>
      <c r="N22" s="7"/>
    </row>
    <row r="23" spans="1:14" x14ac:dyDescent="0.3">
      <c r="A23" s="8" t="s">
        <v>66</v>
      </c>
      <c r="B23" s="7">
        <v>0.1</v>
      </c>
      <c r="C23" s="8" t="s">
        <v>290</v>
      </c>
      <c r="D23" s="7">
        <v>8.92</v>
      </c>
      <c r="E23" s="8"/>
      <c r="F23" s="7"/>
      <c r="G23" s="8"/>
      <c r="H23" s="7"/>
      <c r="I23" s="8"/>
      <c r="J23" s="7"/>
      <c r="K23" s="8"/>
      <c r="L23" s="7"/>
      <c r="M23" s="8"/>
      <c r="N23" s="7"/>
    </row>
    <row r="24" spans="1:14" x14ac:dyDescent="0.3">
      <c r="A24" s="27" t="s">
        <v>66</v>
      </c>
      <c r="B24" s="7">
        <v>0.1</v>
      </c>
      <c r="C24" s="8" t="s">
        <v>293</v>
      </c>
      <c r="D24" s="7">
        <v>11</v>
      </c>
      <c r="E24" s="8"/>
      <c r="F24" s="7"/>
      <c r="G24" s="8"/>
      <c r="H24" s="7"/>
      <c r="I24" s="8"/>
      <c r="J24" s="7"/>
      <c r="K24" s="8"/>
      <c r="L24" s="7"/>
      <c r="M24" s="8"/>
      <c r="N24" s="7"/>
    </row>
    <row r="25" spans="1:14" x14ac:dyDescent="0.3">
      <c r="A25" s="8" t="s">
        <v>66</v>
      </c>
      <c r="B25" s="7">
        <v>0.1</v>
      </c>
      <c r="C25" s="8" t="s">
        <v>294</v>
      </c>
      <c r="D25" s="7">
        <v>0.02</v>
      </c>
      <c r="E25" s="8"/>
      <c r="F25" s="7"/>
      <c r="G25" s="8"/>
      <c r="H25" s="7"/>
      <c r="I25" s="8"/>
      <c r="J25" s="7"/>
      <c r="K25" s="8"/>
      <c r="L25" s="7"/>
      <c r="M25" s="8"/>
      <c r="N25" s="7"/>
    </row>
    <row r="26" spans="1:14" x14ac:dyDescent="0.3">
      <c r="A26" s="8" t="s">
        <v>66</v>
      </c>
      <c r="B26" s="7">
        <v>0.1</v>
      </c>
      <c r="C26" s="8" t="s">
        <v>296</v>
      </c>
      <c r="D26" s="7">
        <v>0.02</v>
      </c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3">
      <c r="A27" s="27" t="s">
        <v>66</v>
      </c>
      <c r="B27" s="7">
        <v>0.1</v>
      </c>
      <c r="C27" s="8" t="s">
        <v>299</v>
      </c>
      <c r="D27" s="7">
        <v>0.99</v>
      </c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3">
      <c r="A28" s="8" t="s">
        <v>66</v>
      </c>
      <c r="B28" s="7">
        <v>0.1</v>
      </c>
      <c r="C28" s="8" t="s">
        <v>301</v>
      </c>
      <c r="D28" s="7">
        <v>0.4</v>
      </c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3">
      <c r="A29" s="18" t="s">
        <v>306</v>
      </c>
      <c r="B29" s="7">
        <v>2.2000000000000002</v>
      </c>
      <c r="C29" s="8" t="s">
        <v>302</v>
      </c>
      <c r="D29" s="7">
        <v>0.02</v>
      </c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3">
      <c r="A30" s="8" t="s">
        <v>66</v>
      </c>
      <c r="B30" s="7">
        <v>0.1</v>
      </c>
      <c r="C30" s="8" t="s">
        <v>304</v>
      </c>
      <c r="D30" s="7">
        <v>0.02</v>
      </c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3">
      <c r="A31" s="8" t="s">
        <v>66</v>
      </c>
      <c r="B31" s="7">
        <v>0.1</v>
      </c>
      <c r="C31" s="8" t="s">
        <v>305</v>
      </c>
      <c r="D31" s="7">
        <v>0.08</v>
      </c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3">
      <c r="A32" s="8" t="s">
        <v>66</v>
      </c>
      <c r="B32" s="7">
        <v>0.1</v>
      </c>
      <c r="C32" s="8" t="s">
        <v>308</v>
      </c>
      <c r="D32" s="7">
        <v>0.1</v>
      </c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3">
      <c r="A33" s="8" t="s">
        <v>66</v>
      </c>
      <c r="B33" s="7">
        <v>0.1</v>
      </c>
      <c r="C33" s="8" t="s">
        <v>309</v>
      </c>
      <c r="D33" s="7">
        <v>0.2</v>
      </c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3">
      <c r="A34" s="8"/>
      <c r="B34" s="7"/>
      <c r="C34" s="8" t="s">
        <v>310</v>
      </c>
      <c r="D34" s="7">
        <v>9</v>
      </c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3">
      <c r="A35" s="8"/>
      <c r="B35" s="7"/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3">
      <c r="A36" s="8"/>
      <c r="B36" s="9"/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3">
      <c r="A37" s="8"/>
      <c r="B37" s="9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399999999999999" x14ac:dyDescent="0.3">
      <c r="A38" s="8"/>
      <c r="B38" s="9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31">
        <f>(Q39-COUNTA(A29,C5,C6,E3,E4,E5,E8,G5,G7,I4,I9,K7,K5,K4,K3,K2))/Q39*100</f>
        <v>84</v>
      </c>
    </row>
    <row r="39" spans="1:17" ht="17.399999999999999" x14ac:dyDescent="0.3">
      <c r="A39" s="8"/>
      <c r="B39" s="9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COUNTA(A2:A40,C2:C40,E2:E40,G2:G40,I2:I40,K2:K40,M2:M40)</f>
        <v>100</v>
      </c>
    </row>
    <row r="40" spans="1:17" ht="15" thickBot="1" x14ac:dyDescent="0.35">
      <c r="A40" s="23"/>
      <c r="B40" s="13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5.8" x14ac:dyDescent="0.3">
      <c r="A41" s="16"/>
      <c r="B41" s="14">
        <f>SUM(B2:B40)</f>
        <v>5.7</v>
      </c>
      <c r="C41" s="16"/>
      <c r="D41" s="14">
        <f>SUM(D2:D40)</f>
        <v>55.990000000000016</v>
      </c>
      <c r="E41" s="16"/>
      <c r="F41" s="14">
        <f>SUM(F2:F40)</f>
        <v>15.450000000000001</v>
      </c>
      <c r="G41" s="16"/>
      <c r="H41" s="14">
        <f>SUM(H2:H40)</f>
        <v>1.44</v>
      </c>
      <c r="I41" s="16"/>
      <c r="J41" s="14">
        <f>SUM(J2:J40)</f>
        <v>15.530000000000001</v>
      </c>
      <c r="K41" s="16"/>
      <c r="L41" s="14">
        <f>SUM(L2:L40)</f>
        <v>20.68</v>
      </c>
      <c r="M41" s="16"/>
      <c r="N41" s="14">
        <f>SUM(N2:N40)</f>
        <v>0</v>
      </c>
      <c r="P41" s="24">
        <f>SUM(B41,D41,F41,H41,J41,L41,N41)</f>
        <v>114.79000000000002</v>
      </c>
    </row>
    <row r="42" spans="1:17" ht="15" thickBot="1" x14ac:dyDescent="0.35">
      <c r="P42" s="25">
        <f>SUM(B29,D5,D6,F8,F5,F4,F3,H5,H7,J9,J4,L7,L5,L4,L3,L2)</f>
        <v>46.98</v>
      </c>
    </row>
    <row r="43" spans="1:17" ht="15" thickTop="1" x14ac:dyDescent="0.3">
      <c r="P43" s="26">
        <f>P41-P42</f>
        <v>67.810000000000031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Urza</vt:lpstr>
      <vt:lpstr>Tasigur</vt:lpstr>
      <vt:lpstr>Breya</vt:lpstr>
      <vt:lpstr>Yawgmoth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Nytra</dc:creator>
  <cp:lastModifiedBy>Christian Nytra | Co-Orga GmbH</cp:lastModifiedBy>
  <dcterms:created xsi:type="dcterms:W3CDTF">2019-02-10T16:22:39Z</dcterms:created>
  <dcterms:modified xsi:type="dcterms:W3CDTF">2020-01-07T15:44:13Z</dcterms:modified>
</cp:coreProperties>
</file>